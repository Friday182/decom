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43025\Desktop\"/>
    </mc:Choice>
  </mc:AlternateContent>
  <bookViews>
    <workbookView xWindow="0" yWindow="-15" windowWidth="12150" windowHeight="12330"/>
  </bookViews>
  <sheets>
    <sheet name="metadata" sheetId="4" r:id="rId1"/>
    <sheet name="schools" sheetId="2" r:id="rId2"/>
    <sheet name="pupils" sheetId="3" r:id="rId3"/>
  </sheets>
  <calcPr calcId="152511"/>
</workbook>
</file>

<file path=xl/calcChain.xml><?xml version="1.0" encoding="utf-8"?>
<calcChain xmlns="http://schemas.openxmlformats.org/spreadsheetml/2006/main">
  <c r="AD45" i="2" l="1"/>
  <c r="AD47" i="2" s="1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C37" i="3" l="1"/>
  <c r="AD20" i="3" l="1"/>
  <c r="AD16" i="3"/>
  <c r="AD10" i="3"/>
  <c r="AD31" i="3"/>
  <c r="AD24" i="3"/>
  <c r="AD26" i="3" l="1"/>
  <c r="AD37" i="3" s="1"/>
  <c r="AD39" i="3"/>
  <c r="AD31" i="2" l="1"/>
  <c r="AD38" i="2" s="1"/>
  <c r="AD19" i="2"/>
  <c r="AD21" i="2" s="1"/>
  <c r="AD10" i="2"/>
  <c r="AC39" i="3" l="1"/>
  <c r="AC47" i="2" l="1"/>
  <c r="AC31" i="2" l="1"/>
  <c r="AC38" i="2" s="1"/>
  <c r="AC19" i="2"/>
  <c r="AC21" i="2" s="1"/>
  <c r="AC10" i="2"/>
  <c r="AC24" i="3" l="1"/>
  <c r="AC26" i="3" s="1"/>
  <c r="AC31" i="3"/>
  <c r="AB31" i="3" l="1"/>
  <c r="AB24" i="3"/>
  <c r="AB26" i="3" s="1"/>
  <c r="AB20" i="3"/>
  <c r="AB16" i="3"/>
  <c r="AB10" i="3"/>
  <c r="AB37" i="3" l="1"/>
  <c r="AB39" i="3" s="1"/>
  <c r="AB31" i="2"/>
  <c r="AB38" i="2" s="1"/>
  <c r="AB19" i="2"/>
  <c r="AB21" i="2" s="1"/>
  <c r="AB10" i="2"/>
  <c r="AB47" i="2" s="1"/>
  <c r="AA31" i="3" l="1"/>
  <c r="AA24" i="3"/>
  <c r="AA20" i="3"/>
  <c r="AA16" i="3"/>
  <c r="AA10" i="3"/>
  <c r="AA31" i="2"/>
  <c r="AA38" i="2" s="1"/>
  <c r="AA19" i="2"/>
  <c r="AA21" i="2" s="1"/>
  <c r="AA10" i="2"/>
  <c r="Z31" i="3"/>
  <c r="Z24" i="3"/>
  <c r="Z20" i="3"/>
  <c r="Z16" i="3"/>
  <c r="Z10" i="3"/>
  <c r="Z31" i="2"/>
  <c r="Z38" i="2" s="1"/>
  <c r="Z19" i="2"/>
  <c r="Z21" i="2" s="1"/>
  <c r="Z10" i="2"/>
  <c r="Y31" i="2"/>
  <c r="Y38" i="2" s="1"/>
  <c r="Y19" i="2"/>
  <c r="Y21" i="2" s="1"/>
  <c r="Y10" i="2"/>
  <c r="Y31" i="3"/>
  <c r="Y24" i="3"/>
  <c r="Y20" i="3"/>
  <c r="Y16" i="3"/>
  <c r="Y10" i="3"/>
  <c r="X31" i="3"/>
  <c r="X24" i="3"/>
  <c r="X20" i="3"/>
  <c r="X16" i="3"/>
  <c r="X10" i="3"/>
  <c r="X31" i="2"/>
  <c r="X38" i="2" s="1"/>
  <c r="X19" i="2"/>
  <c r="X21" i="2" s="1"/>
  <c r="X10" i="2"/>
  <c r="W31" i="3"/>
  <c r="W24" i="3"/>
  <c r="W26" i="3" s="1"/>
  <c r="W20" i="3"/>
  <c r="W16" i="3"/>
  <c r="W10" i="3"/>
  <c r="W31" i="2"/>
  <c r="W38" i="2" s="1"/>
  <c r="W19" i="2"/>
  <c r="W21" i="2" s="1"/>
  <c r="W10" i="2"/>
  <c r="V31" i="2"/>
  <c r="V38" i="2" s="1"/>
  <c r="V19" i="2"/>
  <c r="V21" i="2" s="1"/>
  <c r="V10" i="2"/>
  <c r="V31" i="3"/>
  <c r="V24" i="3"/>
  <c r="V20" i="3"/>
  <c r="V16" i="3"/>
  <c r="V10" i="3"/>
  <c r="U10" i="2"/>
  <c r="U19" i="2"/>
  <c r="U21" i="2" s="1"/>
  <c r="U31" i="2"/>
  <c r="U38" i="2"/>
  <c r="U31" i="3"/>
  <c r="U24" i="3"/>
  <c r="U20" i="3"/>
  <c r="U16" i="3"/>
  <c r="U10" i="3"/>
  <c r="S19" i="2"/>
  <c r="S21" i="2" s="1"/>
  <c r="T19" i="2"/>
  <c r="T21" i="2" s="1"/>
  <c r="T10" i="2"/>
  <c r="T31" i="2"/>
  <c r="T38" i="2" s="1"/>
  <c r="T10" i="3"/>
  <c r="T16" i="3"/>
  <c r="T20" i="3"/>
  <c r="T24" i="3"/>
  <c r="T31" i="3"/>
  <c r="S31" i="3"/>
  <c r="S24" i="3"/>
  <c r="S20" i="3"/>
  <c r="S16" i="3"/>
  <c r="S10" i="3"/>
  <c r="S10" i="2"/>
  <c r="S31" i="2"/>
  <c r="S38" i="2" s="1"/>
  <c r="R10" i="2"/>
  <c r="R19" i="2"/>
  <c r="R21" i="2" s="1"/>
  <c r="R31" i="2"/>
  <c r="R37" i="2"/>
  <c r="R20" i="3"/>
  <c r="R24" i="3"/>
  <c r="R16" i="3"/>
  <c r="R31" i="3"/>
  <c r="R10" i="3"/>
  <c r="Q31" i="3"/>
  <c r="Q24" i="3"/>
  <c r="Q20" i="3"/>
  <c r="Q16" i="3"/>
  <c r="Q10" i="3"/>
  <c r="P31" i="3"/>
  <c r="P24" i="3"/>
  <c r="P20" i="3"/>
  <c r="P16" i="3"/>
  <c r="P10" i="3"/>
  <c r="O31" i="3"/>
  <c r="O24" i="3"/>
  <c r="O20" i="3"/>
  <c r="O16" i="3"/>
  <c r="O10" i="3"/>
  <c r="N31" i="3"/>
  <c r="N24" i="3"/>
  <c r="N20" i="3"/>
  <c r="N16" i="3"/>
  <c r="N10" i="3"/>
  <c r="M31" i="3"/>
  <c r="M24" i="3"/>
  <c r="M20" i="3"/>
  <c r="M16" i="3"/>
  <c r="M10" i="3"/>
  <c r="L31" i="3"/>
  <c r="L24" i="3"/>
  <c r="L20" i="3"/>
  <c r="L16" i="3"/>
  <c r="L10" i="3"/>
  <c r="K31" i="3"/>
  <c r="K24" i="3"/>
  <c r="K20" i="3"/>
  <c r="K16" i="3"/>
  <c r="K10" i="3"/>
  <c r="J31" i="3"/>
  <c r="J24" i="3"/>
  <c r="J20" i="3"/>
  <c r="J16" i="3"/>
  <c r="J10" i="3"/>
  <c r="I31" i="3"/>
  <c r="I24" i="3"/>
  <c r="I20" i="3"/>
  <c r="I16" i="3"/>
  <c r="I10" i="3"/>
  <c r="H31" i="3"/>
  <c r="H24" i="3"/>
  <c r="H20" i="3"/>
  <c r="H16" i="3"/>
  <c r="H10" i="3"/>
  <c r="G31" i="3"/>
  <c r="G24" i="3"/>
  <c r="G20" i="3"/>
  <c r="G16" i="3"/>
  <c r="G10" i="3"/>
  <c r="F31" i="3"/>
  <c r="F24" i="3"/>
  <c r="F20" i="3"/>
  <c r="F16" i="3"/>
  <c r="F10" i="3"/>
  <c r="E31" i="3"/>
  <c r="E24" i="3"/>
  <c r="E20" i="3"/>
  <c r="E16" i="3"/>
  <c r="E10" i="3"/>
  <c r="D31" i="3"/>
  <c r="D24" i="3"/>
  <c r="D20" i="3"/>
  <c r="D16" i="3"/>
  <c r="D10" i="3"/>
  <c r="C31" i="3"/>
  <c r="C24" i="3"/>
  <c r="C20" i="3"/>
  <c r="C16" i="3"/>
  <c r="C10" i="3"/>
  <c r="P10" i="2"/>
  <c r="P19" i="2"/>
  <c r="P21" i="2" s="1"/>
  <c r="P31" i="2"/>
  <c r="P37" i="2"/>
  <c r="Q10" i="2"/>
  <c r="Q19" i="2"/>
  <c r="Q31" i="2"/>
  <c r="Q37" i="2"/>
  <c r="O10" i="2"/>
  <c r="O19" i="2"/>
  <c r="O21" i="2" s="1"/>
  <c r="O31" i="2"/>
  <c r="O37" i="2"/>
  <c r="N10" i="2"/>
  <c r="N19" i="2"/>
  <c r="N21" i="2" s="1"/>
  <c r="N31" i="2"/>
  <c r="N37" i="2"/>
  <c r="M10" i="2"/>
  <c r="M19" i="2"/>
  <c r="M31" i="2"/>
  <c r="M37" i="2"/>
  <c r="L19" i="2"/>
  <c r="L21" i="2" s="1"/>
  <c r="L31" i="2"/>
  <c r="J10" i="2"/>
  <c r="J19" i="2"/>
  <c r="J21" i="2" s="1"/>
  <c r="J31" i="2"/>
  <c r="J37" i="2"/>
  <c r="K38" i="2"/>
  <c r="I38" i="2"/>
  <c r="H38" i="2"/>
  <c r="G38" i="2"/>
  <c r="F38" i="2"/>
  <c r="E38" i="2"/>
  <c r="D38" i="2"/>
  <c r="C38" i="2"/>
  <c r="M21" i="2"/>
  <c r="K21" i="2"/>
  <c r="K47" i="2" s="1"/>
  <c r="I21" i="2"/>
  <c r="I47" i="2" s="1"/>
  <c r="H21" i="2"/>
  <c r="H47" i="2" s="1"/>
  <c r="G21" i="2"/>
  <c r="G47" i="2" s="1"/>
  <c r="F21" i="2"/>
  <c r="F47" i="2" s="1"/>
  <c r="E21" i="2"/>
  <c r="E47" i="2" s="1"/>
  <c r="D21" i="2"/>
  <c r="D47" i="2" s="1"/>
  <c r="C21" i="2"/>
  <c r="C47" i="2" s="1"/>
  <c r="L47" i="2" l="1"/>
  <c r="F26" i="3"/>
  <c r="F37" i="3" s="1"/>
  <c r="F39" i="3" s="1"/>
  <c r="J26" i="3"/>
  <c r="N26" i="3"/>
  <c r="N37" i="3" s="1"/>
  <c r="N39" i="3" s="1"/>
  <c r="S47" i="2"/>
  <c r="U47" i="2"/>
  <c r="M47" i="2"/>
  <c r="N47" i="2"/>
  <c r="P47" i="2"/>
  <c r="R47" i="2"/>
  <c r="W47" i="2"/>
  <c r="X47" i="2"/>
  <c r="AA47" i="2"/>
  <c r="J47" i="2"/>
  <c r="R38" i="2"/>
  <c r="V47" i="2"/>
  <c r="Y47" i="2"/>
  <c r="M38" i="2"/>
  <c r="O47" i="2"/>
  <c r="Q38" i="2"/>
  <c r="J38" i="2"/>
  <c r="P38" i="2"/>
  <c r="N38" i="2"/>
  <c r="O38" i="2"/>
  <c r="C26" i="3"/>
  <c r="C37" i="3" s="1"/>
  <c r="C39" i="3" s="1"/>
  <c r="G26" i="3"/>
  <c r="G37" i="3" s="1"/>
  <c r="G39" i="3" s="1"/>
  <c r="K26" i="3"/>
  <c r="K37" i="3" s="1"/>
  <c r="K39" i="3" s="1"/>
  <c r="O26" i="3"/>
  <c r="O37" i="3" s="1"/>
  <c r="O39" i="3" s="1"/>
  <c r="S26" i="3"/>
  <c r="S37" i="3" s="1"/>
  <c r="S39" i="3" s="1"/>
  <c r="T26" i="3"/>
  <c r="U26" i="3"/>
  <c r="R26" i="3"/>
  <c r="T37" i="3"/>
  <c r="T39" i="3" s="1"/>
  <c r="X26" i="3"/>
  <c r="W37" i="3"/>
  <c r="W39" i="3" s="1"/>
  <c r="E26" i="3"/>
  <c r="I26" i="3"/>
  <c r="M26" i="3"/>
  <c r="Q26" i="3"/>
  <c r="Q37" i="3" s="1"/>
  <c r="V26" i="3"/>
  <c r="V37" i="3" s="1"/>
  <c r="J37" i="3"/>
  <c r="J39" i="3" s="1"/>
  <c r="I37" i="3"/>
  <c r="D26" i="3"/>
  <c r="H26" i="3"/>
  <c r="L26" i="3"/>
  <c r="P26" i="3"/>
  <c r="P37" i="3" s="1"/>
  <c r="U37" i="3"/>
  <c r="U39" i="3" s="1"/>
  <c r="Y26" i="3"/>
  <c r="Y37" i="3" s="1"/>
  <c r="Y39" i="3" s="1"/>
  <c r="Q21" i="2"/>
  <c r="Q47" i="2" s="1"/>
  <c r="AA26" i="3"/>
  <c r="AA37" i="3" s="1"/>
  <c r="Z26" i="3"/>
  <c r="Z47" i="2"/>
  <c r="T47" i="2"/>
  <c r="L38" i="2"/>
  <c r="L37" i="3" l="1"/>
  <c r="L39" i="3" s="1"/>
  <c r="X37" i="3"/>
  <c r="X39" i="3" s="1"/>
  <c r="H37" i="3"/>
  <c r="H39" i="3" s="1"/>
  <c r="E37" i="3"/>
  <c r="E39" i="3" s="1"/>
  <c r="D37" i="3"/>
  <c r="D39" i="3" s="1"/>
  <c r="V39" i="3"/>
  <c r="P39" i="3"/>
  <c r="AA39" i="3"/>
  <c r="R37" i="3"/>
  <c r="R39" i="3" s="1"/>
  <c r="Z37" i="3"/>
  <c r="Z39" i="3" s="1"/>
  <c r="Q39" i="3"/>
  <c r="I39" i="3"/>
  <c r="M37" i="3"/>
  <c r="M39" i="3" s="1"/>
</calcChain>
</file>

<file path=xl/sharedStrings.xml><?xml version="1.0" encoding="utf-8"?>
<sst xmlns="http://schemas.openxmlformats.org/spreadsheetml/2006/main" count="217" uniqueCount="124">
  <si>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</si>
  <si>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</si>
  <si>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</si>
  <si>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</si>
  <si>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</si>
  <si>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</si>
  <si>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</si>
  <si>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</si>
  <si>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</si>
  <si>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</si>
  <si>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</si>
  <si>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</si>
  <si>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</si>
  <si>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 xml:space="preserve">Nursery Schools </t>
  </si>
  <si>
    <t>Controlled</t>
  </si>
  <si>
    <t>Catholic Maintained</t>
  </si>
  <si>
    <t>TOTAL</t>
  </si>
  <si>
    <t xml:space="preserve">Primary Schools </t>
  </si>
  <si>
    <t>Other Maintained</t>
  </si>
  <si>
    <t>Other</t>
  </si>
  <si>
    <t>Controlled Integrated</t>
  </si>
  <si>
    <t>Grant Maintained Integrated</t>
  </si>
  <si>
    <t>Irish Medium</t>
  </si>
  <si>
    <t>Grammar Schools</t>
  </si>
  <si>
    <t>Voluntary</t>
  </si>
  <si>
    <t xml:space="preserve">Hospital Schools </t>
  </si>
  <si>
    <t xml:space="preserve">Independent Schools </t>
  </si>
  <si>
    <t xml:space="preserve">All schools </t>
  </si>
  <si>
    <t>GRAND TOTAL</t>
  </si>
  <si>
    <t>Number of Educational Establishments in Northern Ireland by Management Type</t>
  </si>
  <si>
    <t>Post Primary Schools</t>
  </si>
  <si>
    <t>Secondary (non grammar) schools</t>
  </si>
  <si>
    <t>Total Post Primary Schools</t>
  </si>
  <si>
    <t>'-' denotes that figures are not available.</t>
  </si>
  <si>
    <t>Two of these schools had closed by the time of the 2000/01 school census.</t>
  </si>
  <si>
    <t>TOTAL NURSERY SCHOOLS</t>
  </si>
  <si>
    <t>ALL SCHOOLS</t>
  </si>
  <si>
    <t>TOTAL POST PRIMARY PUPILS</t>
  </si>
  <si>
    <t>TOTAL PRIMARY PUPILS</t>
  </si>
  <si>
    <t>Full-time</t>
  </si>
  <si>
    <t>Part-time</t>
  </si>
  <si>
    <t>Grammar preparatory: reception</t>
  </si>
  <si>
    <t>TOTAL RECEPTION PUPILS</t>
  </si>
  <si>
    <t>TOTAL YEAR 1 - 7 PUPILS</t>
  </si>
  <si>
    <t>Nursery class pupils</t>
  </si>
  <si>
    <t>Primary: reception</t>
  </si>
  <si>
    <t xml:space="preserve">2   Three additional special schools were included in the 1999/00 school census. These schools were managed by the Northern Ireland Office until 31st August 1999. </t>
  </si>
  <si>
    <t xml:space="preserve">Grammar Schools </t>
  </si>
  <si>
    <t>Data are collected annually through the School census exercise.</t>
  </si>
  <si>
    <t>should be addressed to:</t>
  </si>
  <si>
    <t>Department of Education,</t>
  </si>
  <si>
    <t>Bangor,</t>
  </si>
  <si>
    <t>Co. Down</t>
  </si>
  <si>
    <t>BT19 7PR.</t>
  </si>
  <si>
    <t xml:space="preserve">email: </t>
  </si>
  <si>
    <t>Schools fall under various management types:</t>
  </si>
  <si>
    <t xml:space="preserve">Rathgael House, </t>
  </si>
  <si>
    <t xml:space="preserve">Balloo Road, </t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</si>
  <si>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</si>
  <si>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Enquiries relating to information collected in the school census in Northern Ireland</t>
  </si>
  <si>
    <t>Within the controlled sector there is a small but growing number of controlled integrated schools.</t>
  </si>
  <si>
    <t xml:space="preserve">Primary and secondary school Boards of Governors consist of representatives of transferors (mainly the Protestant Churches) along with representatives of parents, </t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</si>
  <si>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</si>
  <si>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</si>
  <si>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</si>
  <si>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</si>
  <si>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</si>
  <si>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</si>
  <si>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</si>
  <si>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</si>
  <si>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</si>
  <si>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t>2004/05</t>
  </si>
  <si>
    <r>
      <t>Special Schools</t>
    </r>
    <r>
      <rPr>
        <b/>
        <vertAlign val="superscript"/>
        <sz val="10"/>
        <color indexed="48"/>
        <rFont val="Times New Roman"/>
        <family val="1"/>
      </rPr>
      <t>2</t>
    </r>
  </si>
  <si>
    <t xml:space="preserve">2 Three additional special schools were included in the 1999/00 school census. These schools were managed by the Northern Ireland Office until 31st August 1999. </t>
  </si>
  <si>
    <t>Schools under Catholic management</t>
  </si>
  <si>
    <t>Schools under other management</t>
  </si>
  <si>
    <t>This takes place in early October when each school is required to submit a return detailing information about the numbers of pupils on their register.</t>
  </si>
  <si>
    <t xml:space="preserve">Statistics produced from the school census exercise qualify as National Statistics. </t>
  </si>
  <si>
    <t>3. " - " means zero cases.</t>
  </si>
  <si>
    <t>TOTAL NURSERY CLASS PUPILS</t>
  </si>
  <si>
    <t>Such schools are funded directly by the Department.</t>
  </si>
  <si>
    <t>2005/06</t>
  </si>
  <si>
    <t>Grammar school prep depts.</t>
  </si>
  <si>
    <t>Grammar school prep Depts.(year 1 - 7)</t>
  </si>
  <si>
    <t>2006/07</t>
  </si>
  <si>
    <t>TOTAL*</t>
  </si>
  <si>
    <t>2007/08</t>
  </si>
  <si>
    <t>2008/09</t>
  </si>
  <si>
    <t>4. Figures for primary and post primary schools include children in mainstream classes and in special units.</t>
  </si>
  <si>
    <t>Number of Pupils attending Educational Establishments in Northern Ireland by School Type</t>
  </si>
  <si>
    <r>
      <t>Voluntary and Private Pre-school Education Centres</t>
    </r>
    <r>
      <rPr>
        <b/>
        <vertAlign val="superscript"/>
        <sz val="10"/>
        <color indexed="48"/>
        <rFont val="Times New Roman"/>
        <family val="1"/>
      </rPr>
      <t>1,5</t>
    </r>
  </si>
  <si>
    <r>
      <t>TOTAL SCHOOLS AND PRE-EDUCATION CENTRES</t>
    </r>
    <r>
      <rPr>
        <b/>
        <vertAlign val="superscript"/>
        <sz val="10"/>
        <color indexed="48"/>
        <rFont val="Times New Roman"/>
        <family val="1"/>
      </rPr>
      <t xml:space="preserve"> 5</t>
    </r>
  </si>
  <si>
    <r>
      <t>Voluntary and Private Pre-School Education Centres</t>
    </r>
    <r>
      <rPr>
        <b/>
        <vertAlign val="superscript"/>
        <sz val="10"/>
        <color indexed="48"/>
        <rFont val="Times New Roman"/>
        <family val="1"/>
      </rPr>
      <t>1, 4</t>
    </r>
  </si>
  <si>
    <r>
      <t>Total schools and pre-school education centres</t>
    </r>
    <r>
      <rPr>
        <b/>
        <vertAlign val="superscript"/>
        <sz val="10"/>
        <color indexed="48"/>
        <rFont val="Times New Roman"/>
        <family val="1"/>
      </rPr>
      <t xml:space="preserve"> 4</t>
    </r>
  </si>
  <si>
    <t>2009/10</t>
  </si>
  <si>
    <t>Among the information collected are details on: year group, gender, age, religion, ethnicity, Special Educational Needs and on newcomer pupils.</t>
  </si>
  <si>
    <t>2010/11</t>
  </si>
  <si>
    <t>Rathgill,</t>
  </si>
  <si>
    <r>
      <t>Primary schools (year 1 - 7)</t>
    </r>
    <r>
      <rPr>
        <vertAlign val="superscript"/>
        <sz val="10"/>
        <color indexed="48"/>
        <rFont val="Times New Roman"/>
        <family val="1"/>
      </rPr>
      <t>6</t>
    </r>
  </si>
  <si>
    <r>
      <t>Part-time</t>
    </r>
    <r>
      <rPr>
        <vertAlign val="superscript"/>
        <sz val="10"/>
        <color indexed="48"/>
        <rFont val="Times New Roman"/>
        <family val="1"/>
      </rPr>
      <t>6</t>
    </r>
  </si>
  <si>
    <t>2011/12</t>
  </si>
  <si>
    <t>2012/13</t>
  </si>
  <si>
    <t>2013/14</t>
  </si>
  <si>
    <t>2014/15</t>
  </si>
  <si>
    <t>2015/16</t>
  </si>
  <si>
    <t>2016/17</t>
  </si>
  <si>
    <t>5. Independent school enrolments in 2016/17 refer to all schools with the exception of The Holywood Rudolf Steiner School</t>
  </si>
  <si>
    <t>6. Previous editions of this table provided enrolments in hospital schools.  These pupils have been counted in their "main" school</t>
  </si>
  <si>
    <t xml:space="preserve">Controlled schools are managed by the Education Authority through Boards of Governors. </t>
  </si>
  <si>
    <t>teachers and the Education Authority. Nursery, grammar and special school Boards of Governors consist of representatives of the latter 3 categories.</t>
  </si>
  <si>
    <t>along with representatives of parents, teachers and the Education Authority.</t>
  </si>
  <si>
    <t>members appointed by the Department or the Education Authority. Voluntary Grammar Schools are funded directly by the Department.</t>
  </si>
  <si>
    <t>statistics@education-ni.gov.uk</t>
  </si>
  <si>
    <t>Analytical Services Unit</t>
  </si>
  <si>
    <t>2017/18</t>
  </si>
  <si>
    <t>EOTAS Centres</t>
  </si>
  <si>
    <t>-</t>
  </si>
  <si>
    <t>2018/19</t>
  </si>
  <si>
    <t>Telephone: 028 9127 9707</t>
  </si>
  <si>
    <t>This file was last updated on 28 February 2019.</t>
  </si>
  <si>
    <t>1   Voluntary and private centres funded under the Pre-school Educatio Programme.</t>
  </si>
  <si>
    <t>1 Voluntary and private centres funded under the Pre-school Education Programme.</t>
  </si>
  <si>
    <t>5. Prepartory Departments are not included in the overall total as they are considered to be part of post primary schools.</t>
  </si>
  <si>
    <t>4.Figure for 2008/09 revised 15 May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</si>
</sst>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10"/>
      <color indexed="48"/>
      <name val="Times New Roman"/>
      <family val="1"/>
    </font>
    <font>
      <b/>
      <sz val="10"/>
      <color indexed="48"/>
      <name val="Times New Roman"/>
      <family val="1"/>
    </font>
    <font>
      <b/>
      <vertAlign val="superscript"/>
      <sz val="10"/>
      <color indexed="48"/>
      <name val="Times New Roman"/>
      <family val="1"/>
    </font>
    <font>
      <b/>
      <u/>
      <sz val="10"/>
      <color indexed="48"/>
      <name val="Times New Roman"/>
      <family val="1"/>
    </font>
    <font>
      <b/>
      <sz val="14"/>
      <color indexed="4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8"/>
      <color indexed="48"/>
      <name val="Times New Roman"/>
      <family val="1"/>
    </font>
    <font>
      <u/>
      <sz val="10"/>
      <color indexed="12"/>
      <name val="Arial"/>
      <family val="2"/>
    </font>
    <font>
      <sz val="10"/>
      <color indexed="48"/>
      <name val="Arial"/>
      <family val="2"/>
    </font>
    <font>
      <vertAlign val="superscript"/>
      <sz val="10"/>
      <color indexed="4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5" fillId="0" borderId="0" xfId="0" applyFont="1" applyBorder="1"/>
    <xf numFmtId="0" fontId="3" fillId="2" borderId="0" xfId="0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49" fontId="6" fillId="3" borderId="0" xfId="0" applyNumberFormat="1" applyFont="1" applyFill="1" applyBorder="1"/>
    <xf numFmtId="0" fontId="6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2" fillId="0" borderId="1" xfId="0" applyFont="1" applyFill="1" applyBorder="1"/>
    <xf numFmtId="0" fontId="7" fillId="0" borderId="0" xfId="0" applyFont="1"/>
    <xf numFmtId="0" fontId="8" fillId="0" borderId="0" xfId="0" applyFont="1"/>
    <xf numFmtId="0" fontId="2" fillId="0" borderId="0" xfId="0" applyFont="1" applyFill="1"/>
    <xf numFmtId="0" fontId="3" fillId="0" borderId="0" xfId="0" applyFont="1" applyFill="1"/>
    <xf numFmtId="49" fontId="9" fillId="3" borderId="0" xfId="0" quotePrefix="1" applyNumberFormat="1" applyFont="1" applyFill="1"/>
    <xf numFmtId="49" fontId="9" fillId="3" borderId="0" xfId="0" applyNumberFormat="1" applyFont="1" applyFill="1" applyAlignment="1">
      <alignment horizontal="left"/>
    </xf>
    <xf numFmtId="49" fontId="2" fillId="3" borderId="0" xfId="0" applyNumberFormat="1" applyFont="1" applyFill="1"/>
    <xf numFmtId="49" fontId="9" fillId="3" borderId="0" xfId="0" applyNumberFormat="1" applyFont="1" applyFill="1"/>
    <xf numFmtId="164" fontId="2" fillId="3" borderId="0" xfId="0" applyNumberFormat="1" applyFont="1" applyFill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3" fillId="3" borderId="0" xfId="0" applyNumberFormat="1" applyFont="1" applyFill="1" applyBorder="1" applyAlignment="1">
      <alignment horizontal="right"/>
    </xf>
    <xf numFmtId="164" fontId="3" fillId="2" borderId="0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right"/>
    </xf>
    <xf numFmtId="164" fontId="3" fillId="2" borderId="0" xfId="0" applyNumberFormat="1" applyFont="1" applyFill="1" applyBorder="1" applyAlignment="1">
      <alignment horizontal="right"/>
    </xf>
    <xf numFmtId="164" fontId="3" fillId="0" borderId="0" xfId="1" applyNumberFormat="1" applyFont="1" applyBorder="1" applyAlignment="1">
      <alignment horizontal="right" vertical="center"/>
    </xf>
    <xf numFmtId="164" fontId="3" fillId="0" borderId="0" xfId="1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4" fontId="3" fillId="3" borderId="0" xfId="1" applyNumberFormat="1" applyFont="1" applyFill="1" applyAlignment="1">
      <alignment horizontal="right" vertical="center"/>
    </xf>
    <xf numFmtId="164" fontId="2" fillId="3" borderId="0" xfId="1" applyNumberFormat="1" applyFont="1" applyFill="1" applyAlignment="1">
      <alignment horizontal="right" vertical="center"/>
    </xf>
    <xf numFmtId="164" fontId="2" fillId="3" borderId="0" xfId="1" applyNumberFormat="1" applyFont="1" applyFill="1" applyAlignment="1">
      <alignment vertical="center"/>
    </xf>
    <xf numFmtId="164" fontId="2" fillId="0" borderId="0" xfId="0" applyNumberFormat="1" applyFont="1" applyFill="1" applyBorder="1"/>
    <xf numFmtId="164" fontId="2" fillId="3" borderId="0" xfId="0" applyNumberFormat="1" applyFont="1" applyFill="1" applyBorder="1"/>
    <xf numFmtId="164" fontId="2" fillId="3" borderId="0" xfId="0" applyNumberFormat="1" applyFont="1" applyFill="1"/>
    <xf numFmtId="164" fontId="2" fillId="0" borderId="0" xfId="0" applyNumberFormat="1" applyFont="1" applyFill="1"/>
    <xf numFmtId="164" fontId="3" fillId="2" borderId="0" xfId="0" applyNumberFormat="1" applyFont="1" applyFill="1"/>
    <xf numFmtId="164" fontId="3" fillId="3" borderId="0" xfId="0" applyNumberFormat="1" applyFont="1" applyFill="1"/>
    <xf numFmtId="164" fontId="2" fillId="0" borderId="0" xfId="0" applyNumberFormat="1" applyFont="1"/>
    <xf numFmtId="0" fontId="9" fillId="3" borderId="0" xfId="0" applyFont="1" applyFill="1" applyBorder="1"/>
    <xf numFmtId="49" fontId="3" fillId="3" borderId="0" xfId="0" applyNumberFormat="1" applyFont="1" applyFill="1" applyBorder="1" applyAlignment="1">
      <alignment horizontal="right"/>
    </xf>
    <xf numFmtId="0" fontId="11" fillId="3" borderId="0" xfId="0" applyFont="1" applyFill="1"/>
    <xf numFmtId="0" fontId="2" fillId="3" borderId="0" xfId="0" applyFont="1" applyFill="1"/>
    <xf numFmtId="164" fontId="11" fillId="3" borderId="0" xfId="0" applyNumberFormat="1" applyFont="1" applyFill="1" applyBorder="1" applyAlignment="1">
      <alignment vertical="center"/>
    </xf>
    <xf numFmtId="164" fontId="11" fillId="3" borderId="0" xfId="0" applyNumberFormat="1" applyFont="1" applyFill="1" applyBorder="1" applyAlignment="1">
      <alignment horizontal="right" vertical="center"/>
    </xf>
    <xf numFmtId="164" fontId="11" fillId="3" borderId="0" xfId="1" applyNumberFormat="1" applyFont="1" applyFill="1" applyBorder="1" applyAlignment="1">
      <alignment horizontal="right" vertical="center"/>
    </xf>
    <xf numFmtId="0" fontId="10" fillId="0" borderId="0" xfId="2" applyAlignment="1" applyProtection="1"/>
    <xf numFmtId="0" fontId="1" fillId="0" borderId="0" xfId="0" applyFont="1"/>
    <xf numFmtId="49" fontId="9" fillId="4" borderId="0" xfId="0" applyNumberFormat="1" applyFont="1" applyFill="1" applyAlignment="1">
      <alignment horizontal="left"/>
    </xf>
    <xf numFmtId="0" fontId="2" fillId="4" borderId="0" xfId="0" applyFont="1" applyFill="1" applyBorder="1"/>
    <xf numFmtId="164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164" fontId="9" fillId="3" borderId="0" xfId="0" applyNumberFormat="1" applyFont="1" applyFill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showGridLines="0" tabSelected="1" workbookViewId="0">
      <selection activeCell="O28" sqref="O28"/>
    </sheetView>
  </sheetViews>
  <sheetFormatPr defaultColWidth="9.140625" defaultRowHeight="12.75" x14ac:dyDescent="0.2"/>
  <cols>
    <col min="1" max="16384" width="9.140625" style="27"/>
  </cols>
  <sheetData>
    <row r="1" spans="1:1" x14ac:dyDescent="0.2">
      <c r="A1" s="27" t="s">
        <v>48</v>
      </c>
    </row>
    <row r="2" spans="1:1" x14ac:dyDescent="0.2">
      <c r="A2" s="27" t="s">
        <v>76</v>
      </c>
    </row>
    <row r="3" spans="1:1" x14ac:dyDescent="0.2">
      <c r="A3" s="27" t="s">
        <v>95</v>
      </c>
    </row>
    <row r="4" spans="1:1" x14ac:dyDescent="0.2">
      <c r="A4" s="27" t="s">
        <v>77</v>
      </c>
    </row>
    <row r="5" spans="1:1" ht="6.75" customHeight="1" x14ac:dyDescent="0.2"/>
    <row r="6" spans="1:1" x14ac:dyDescent="0.2">
      <c r="A6" s="27" t="s">
        <v>55</v>
      </c>
    </row>
    <row r="7" spans="1:1" x14ac:dyDescent="0.2">
      <c r="A7" s="26" t="s">
        <v>108</v>
      </c>
    </row>
    <row r="8" spans="1:1" x14ac:dyDescent="0.2">
      <c r="A8" s="27" t="s">
        <v>61</v>
      </c>
    </row>
    <row r="9" spans="1:1" x14ac:dyDescent="0.2">
      <c r="A9" s="27" t="s">
        <v>109</v>
      </c>
    </row>
    <row r="10" spans="1:1" x14ac:dyDescent="0.2">
      <c r="A10" s="27" t="s">
        <v>60</v>
      </c>
    </row>
    <row r="11" spans="1:1" x14ac:dyDescent="0.2">
      <c r="A11" s="26" t="s">
        <v>62</v>
      </c>
    </row>
    <row r="12" spans="1:1" x14ac:dyDescent="0.2">
      <c r="A12" s="27" t="s">
        <v>110</v>
      </c>
    </row>
    <row r="13" spans="1:1" x14ac:dyDescent="0.2">
      <c r="A13" s="27" t="s">
        <v>69</v>
      </c>
    </row>
    <row r="14" spans="1:1" x14ac:dyDescent="0.2">
      <c r="A14" s="27" t="s">
        <v>70</v>
      </c>
    </row>
    <row r="15" spans="1:1" x14ac:dyDescent="0.2">
      <c r="A15" s="26" t="s">
        <v>63</v>
      </c>
    </row>
    <row r="16" spans="1:1" x14ac:dyDescent="0.2">
      <c r="A16" s="27" t="s">
        <v>64</v>
      </c>
    </row>
    <row r="17" spans="1:1" x14ac:dyDescent="0.2">
      <c r="A17" s="27" t="s">
        <v>111</v>
      </c>
    </row>
    <row r="18" spans="1:1" x14ac:dyDescent="0.2">
      <c r="A18" s="27" t="s">
        <v>65</v>
      </c>
    </row>
    <row r="19" spans="1:1" x14ac:dyDescent="0.2">
      <c r="A19" s="27" t="s">
        <v>80</v>
      </c>
    </row>
    <row r="20" spans="1:1" x14ac:dyDescent="0.2">
      <c r="A20" s="27" t="s">
        <v>66</v>
      </c>
    </row>
    <row r="21" spans="1:1" x14ac:dyDescent="0.2">
      <c r="A21" s="27" t="s">
        <v>67</v>
      </c>
    </row>
    <row r="22" spans="1:1" x14ac:dyDescent="0.2">
      <c r="A22" s="27" t="s">
        <v>68</v>
      </c>
    </row>
    <row r="23" spans="1:1" x14ac:dyDescent="0.2">
      <c r="A23" s="26" t="s">
        <v>58</v>
      </c>
    </row>
    <row r="24" spans="1:1" x14ac:dyDescent="0.2">
      <c r="A24" s="26"/>
    </row>
    <row r="25" spans="1:1" x14ac:dyDescent="0.2">
      <c r="A25" s="27" t="s">
        <v>59</v>
      </c>
    </row>
    <row r="26" spans="1:1" x14ac:dyDescent="0.2">
      <c r="A26" s="27" t="s">
        <v>49</v>
      </c>
    </row>
    <row r="27" spans="1:1" ht="10.5" customHeight="1" x14ac:dyDescent="0.2"/>
    <row r="28" spans="1:1" x14ac:dyDescent="0.2">
      <c r="A28" s="61" t="s">
        <v>113</v>
      </c>
    </row>
    <row r="29" spans="1:1" x14ac:dyDescent="0.2">
      <c r="A29" s="27" t="s">
        <v>50</v>
      </c>
    </row>
    <row r="30" spans="1:1" x14ac:dyDescent="0.2">
      <c r="A30" s="27" t="s">
        <v>56</v>
      </c>
    </row>
    <row r="31" spans="1:1" x14ac:dyDescent="0.2">
      <c r="A31" s="27" t="s">
        <v>57</v>
      </c>
    </row>
    <row r="32" spans="1:1" x14ac:dyDescent="0.2">
      <c r="A32" s="27" t="s">
        <v>97</v>
      </c>
    </row>
    <row r="33" spans="1:2" x14ac:dyDescent="0.2">
      <c r="A33" s="27" t="s">
        <v>51</v>
      </c>
    </row>
    <row r="34" spans="1:2" x14ac:dyDescent="0.2">
      <c r="A34" s="27" t="s">
        <v>52</v>
      </c>
    </row>
    <row r="35" spans="1:2" x14ac:dyDescent="0.2">
      <c r="A35" s="27" t="s">
        <v>53</v>
      </c>
    </row>
    <row r="37" spans="1:2" x14ac:dyDescent="0.2">
      <c r="A37" s="61" t="s">
        <v>118</v>
      </c>
    </row>
    <row r="39" spans="1:2" x14ac:dyDescent="0.2">
      <c r="A39" s="27" t="s">
        <v>54</v>
      </c>
      <c r="B39" s="60" t="s">
        <v>112</v>
      </c>
    </row>
    <row r="41" spans="1:2" x14ac:dyDescent="0.2">
      <c r="A41" s="26" t="s">
        <v>119</v>
      </c>
    </row>
  </sheetData>
  <phoneticPr fontId="0" type="noConversion"/>
  <hyperlinks>
    <hyperlink ref="B39" r:id="rId1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4"/>
  <sheetViews>
    <sheetView zoomScaleNormal="100" workbookViewId="0">
      <pane xSplit="2" topLeftCell="I1" activePane="topRight" state="frozen"/>
      <selection pane="topRight" activeCell="Q60" sqref="Q60"/>
    </sheetView>
  </sheetViews>
  <sheetFormatPr defaultColWidth="9.140625" defaultRowHeight="12.75" x14ac:dyDescent="0.2"/>
  <cols>
    <col min="1" max="1" width="27" style="1" customWidth="1"/>
    <col min="2" max="2" width="31.28515625" style="1" customWidth="1"/>
    <col min="3" max="3" width="9.28515625" style="35" customWidth="1"/>
    <col min="4" max="4" width="10.42578125" style="35" customWidth="1"/>
    <col min="5" max="5" width="11.7109375" style="35" customWidth="1"/>
    <col min="6" max="6" width="10.42578125" style="35" customWidth="1"/>
    <col min="7" max="7" width="10.7109375" style="35" customWidth="1"/>
    <col min="8" max="9" width="10.140625" style="35" customWidth="1"/>
    <col min="10" max="15" width="9.140625" style="35"/>
    <col min="16" max="17" width="9.140625" style="46"/>
    <col min="18" max="16384" width="9.140625" style="11"/>
  </cols>
  <sheetData>
    <row r="1" spans="1:30" ht="18.75" x14ac:dyDescent="0.3">
      <c r="A1" s="12" t="s">
        <v>29</v>
      </c>
      <c r="B1" s="6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30" ht="12.75" customHeight="1" x14ac:dyDescent="0.2">
      <c r="P2" s="35"/>
      <c r="Q2" s="35"/>
    </row>
    <row r="3" spans="1:30" ht="12.75" customHeight="1" x14ac:dyDescent="0.2">
      <c r="P3" s="35"/>
      <c r="Q3" s="35"/>
    </row>
    <row r="4" spans="1:30" ht="12.75" customHeight="1" x14ac:dyDescent="0.2">
      <c r="A4" s="7"/>
      <c r="B4" s="14"/>
      <c r="C4" s="36" t="s">
        <v>0</v>
      </c>
      <c r="D4" s="36" t="s">
        <v>1</v>
      </c>
      <c r="E4" s="36" t="s">
        <v>2</v>
      </c>
      <c r="F4" s="36" t="s">
        <v>3</v>
      </c>
      <c r="G4" s="36" t="s">
        <v>4</v>
      </c>
      <c r="H4" s="36" t="s">
        <v>5</v>
      </c>
      <c r="I4" s="36" t="s">
        <v>6</v>
      </c>
      <c r="J4" s="36" t="s">
        <v>7</v>
      </c>
      <c r="K4" s="36" t="s">
        <v>8</v>
      </c>
      <c r="L4" s="36" t="s">
        <v>9</v>
      </c>
      <c r="M4" s="36" t="s">
        <v>10</v>
      </c>
      <c r="N4" s="36" t="s">
        <v>11</v>
      </c>
      <c r="O4" s="36" t="s">
        <v>12</v>
      </c>
      <c r="P4" s="36" t="s">
        <v>71</v>
      </c>
      <c r="Q4" s="54" t="s">
        <v>81</v>
      </c>
      <c r="R4" s="54" t="s">
        <v>84</v>
      </c>
      <c r="S4" s="54" t="s">
        <v>86</v>
      </c>
      <c r="T4" s="54" t="s">
        <v>87</v>
      </c>
      <c r="U4" s="54" t="s">
        <v>94</v>
      </c>
      <c r="V4" s="54" t="s">
        <v>96</v>
      </c>
      <c r="W4" s="54" t="s">
        <v>100</v>
      </c>
      <c r="X4" s="54" t="s">
        <v>101</v>
      </c>
      <c r="Y4" s="54" t="s">
        <v>102</v>
      </c>
      <c r="Z4" s="54" t="s">
        <v>103</v>
      </c>
      <c r="AA4" s="54" t="s">
        <v>104</v>
      </c>
      <c r="AB4" s="54" t="s">
        <v>105</v>
      </c>
      <c r="AC4" s="54" t="s">
        <v>114</v>
      </c>
      <c r="AD4" s="54" t="s">
        <v>117</v>
      </c>
    </row>
    <row r="5" spans="1:30" s="10" customFormat="1" ht="12.75" customHeight="1" x14ac:dyDescent="0.2">
      <c r="A5" s="4" t="s">
        <v>92</v>
      </c>
      <c r="B5" s="15"/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190</v>
      </c>
      <c r="K5" s="38">
        <v>268</v>
      </c>
      <c r="L5" s="38">
        <v>305</v>
      </c>
      <c r="M5" s="38">
        <v>360</v>
      </c>
      <c r="N5" s="38">
        <v>363</v>
      </c>
      <c r="O5" s="39">
        <v>383</v>
      </c>
      <c r="P5" s="39">
        <v>364</v>
      </c>
      <c r="Q5" s="39">
        <v>366</v>
      </c>
      <c r="R5" s="39">
        <v>372</v>
      </c>
      <c r="S5" s="39">
        <v>366</v>
      </c>
      <c r="T5" s="39">
        <v>354</v>
      </c>
      <c r="U5" s="39">
        <v>358</v>
      </c>
      <c r="V5" s="39">
        <v>380</v>
      </c>
      <c r="W5" s="39">
        <v>381</v>
      </c>
      <c r="X5" s="39">
        <v>390</v>
      </c>
      <c r="Y5" s="39">
        <v>396</v>
      </c>
      <c r="Z5" s="39">
        <v>401</v>
      </c>
      <c r="AA5" s="39">
        <v>405</v>
      </c>
      <c r="AB5" s="39">
        <v>399</v>
      </c>
      <c r="AC5" s="39">
        <v>383</v>
      </c>
      <c r="AD5" s="39">
        <v>386</v>
      </c>
    </row>
    <row r="6" spans="1:30" s="10" customFormat="1" ht="12.75" customHeight="1" x14ac:dyDescent="0.2">
      <c r="A6" s="2"/>
      <c r="B6" s="16"/>
      <c r="C6" s="40"/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 spans="1:30" ht="12.75" customHeight="1" x14ac:dyDescent="0.2">
      <c r="A7" s="8" t="s">
        <v>13</v>
      </c>
      <c r="B7" s="14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 ht="12.75" customHeight="1" x14ac:dyDescent="0.2">
      <c r="A8" s="6" t="s">
        <v>14</v>
      </c>
      <c r="B8" s="17"/>
      <c r="C8" s="34">
        <v>65</v>
      </c>
      <c r="D8" s="34">
        <v>65</v>
      </c>
      <c r="E8" s="34">
        <v>65</v>
      </c>
      <c r="F8" s="34">
        <v>65</v>
      </c>
      <c r="G8" s="34">
        <v>65</v>
      </c>
      <c r="H8" s="34">
        <v>65</v>
      </c>
      <c r="I8" s="34">
        <v>65</v>
      </c>
      <c r="J8" s="34">
        <v>65</v>
      </c>
      <c r="K8" s="34">
        <v>66</v>
      </c>
      <c r="L8" s="34">
        <v>66</v>
      </c>
      <c r="M8" s="34">
        <v>67</v>
      </c>
      <c r="N8" s="34">
        <v>68</v>
      </c>
      <c r="O8" s="34">
        <v>68</v>
      </c>
      <c r="P8" s="34">
        <v>67</v>
      </c>
      <c r="Q8" s="34">
        <v>67</v>
      </c>
      <c r="R8" s="34">
        <v>66</v>
      </c>
      <c r="S8" s="57">
        <v>65</v>
      </c>
      <c r="T8" s="57">
        <v>65</v>
      </c>
      <c r="U8" s="57">
        <v>65</v>
      </c>
      <c r="V8" s="57">
        <v>65</v>
      </c>
      <c r="W8" s="57">
        <v>65</v>
      </c>
      <c r="X8" s="57">
        <v>65</v>
      </c>
      <c r="Y8" s="57">
        <v>64</v>
      </c>
      <c r="Z8" s="57">
        <v>64</v>
      </c>
      <c r="AA8" s="57">
        <v>64</v>
      </c>
      <c r="AB8" s="57">
        <v>64</v>
      </c>
      <c r="AC8" s="57">
        <v>64</v>
      </c>
      <c r="AD8" s="57">
        <v>64</v>
      </c>
    </row>
    <row r="9" spans="1:30" ht="12.75" customHeight="1" x14ac:dyDescent="0.2">
      <c r="A9" s="6" t="s">
        <v>15</v>
      </c>
      <c r="B9" s="17"/>
      <c r="C9" s="34">
        <v>23</v>
      </c>
      <c r="D9" s="34">
        <v>23</v>
      </c>
      <c r="E9" s="34">
        <v>24</v>
      </c>
      <c r="F9" s="34">
        <v>26</v>
      </c>
      <c r="G9" s="34">
        <v>26</v>
      </c>
      <c r="H9" s="34">
        <v>26</v>
      </c>
      <c r="I9" s="34">
        <v>26</v>
      </c>
      <c r="J9" s="34">
        <v>26</v>
      </c>
      <c r="K9" s="34">
        <v>29</v>
      </c>
      <c r="L9" s="34">
        <v>29</v>
      </c>
      <c r="M9" s="34">
        <v>29</v>
      </c>
      <c r="N9" s="34">
        <v>32</v>
      </c>
      <c r="O9" s="34">
        <v>32</v>
      </c>
      <c r="P9" s="34">
        <v>32</v>
      </c>
      <c r="Q9" s="34">
        <v>33</v>
      </c>
      <c r="R9" s="34">
        <v>33</v>
      </c>
      <c r="S9" s="57">
        <v>33</v>
      </c>
      <c r="T9" s="57">
        <v>33</v>
      </c>
      <c r="U9" s="57">
        <v>33</v>
      </c>
      <c r="V9" s="57">
        <v>33</v>
      </c>
      <c r="W9" s="57">
        <v>32</v>
      </c>
      <c r="X9" s="57">
        <v>32</v>
      </c>
      <c r="Y9" s="57">
        <v>32</v>
      </c>
      <c r="Z9" s="57">
        <v>32</v>
      </c>
      <c r="AA9" s="57">
        <v>32</v>
      </c>
      <c r="AB9" s="57">
        <v>31</v>
      </c>
      <c r="AC9" s="57">
        <v>31</v>
      </c>
      <c r="AD9" s="57">
        <v>31</v>
      </c>
    </row>
    <row r="10" spans="1:30" ht="12.75" customHeight="1" x14ac:dyDescent="0.2">
      <c r="A10" s="4" t="s">
        <v>16</v>
      </c>
      <c r="B10" s="18"/>
      <c r="C10" s="39">
        <v>88</v>
      </c>
      <c r="D10" s="39">
        <v>88</v>
      </c>
      <c r="E10" s="39">
        <v>89</v>
      </c>
      <c r="F10" s="39">
        <v>91</v>
      </c>
      <c r="G10" s="39">
        <v>91</v>
      </c>
      <c r="H10" s="39">
        <v>91</v>
      </c>
      <c r="I10" s="39">
        <v>91</v>
      </c>
      <c r="J10" s="39">
        <f>SUM(J8:J9)</f>
        <v>91</v>
      </c>
      <c r="K10" s="39">
        <v>95</v>
      </c>
      <c r="L10" s="39">
        <v>95</v>
      </c>
      <c r="M10" s="39">
        <f t="shared" ref="M10:U10" si="0">SUM(M8:M9)</f>
        <v>96</v>
      </c>
      <c r="N10" s="39">
        <f t="shared" si="0"/>
        <v>100</v>
      </c>
      <c r="O10" s="39">
        <f t="shared" si="0"/>
        <v>100</v>
      </c>
      <c r="P10" s="39">
        <f t="shared" si="0"/>
        <v>99</v>
      </c>
      <c r="Q10" s="39">
        <f t="shared" si="0"/>
        <v>100</v>
      </c>
      <c r="R10" s="39">
        <f t="shared" si="0"/>
        <v>99</v>
      </c>
      <c r="S10" s="39">
        <f t="shared" si="0"/>
        <v>98</v>
      </c>
      <c r="T10" s="39">
        <f t="shared" si="0"/>
        <v>98</v>
      </c>
      <c r="U10" s="39">
        <f t="shared" si="0"/>
        <v>98</v>
      </c>
      <c r="V10" s="39">
        <f t="shared" ref="V10:AA10" si="1">SUM(V8:V9)</f>
        <v>98</v>
      </c>
      <c r="W10" s="39">
        <f t="shared" si="1"/>
        <v>97</v>
      </c>
      <c r="X10" s="39">
        <f t="shared" si="1"/>
        <v>97</v>
      </c>
      <c r="Y10" s="39">
        <f t="shared" si="1"/>
        <v>96</v>
      </c>
      <c r="Z10" s="39">
        <f t="shared" si="1"/>
        <v>96</v>
      </c>
      <c r="AA10" s="39">
        <f t="shared" si="1"/>
        <v>96</v>
      </c>
      <c r="AB10" s="39">
        <f t="shared" ref="AB10" si="2">SUM(AB8:AB9)</f>
        <v>95</v>
      </c>
      <c r="AC10" s="39">
        <f t="shared" ref="AC10:AD10" si="3">SUM(AC8:AC9)</f>
        <v>95</v>
      </c>
      <c r="AD10" s="39">
        <f t="shared" si="3"/>
        <v>95</v>
      </c>
    </row>
    <row r="11" spans="1:30" ht="12.75" customHeight="1" x14ac:dyDescent="0.2">
      <c r="A11" s="2"/>
      <c r="B11" s="19"/>
      <c r="C11" s="42"/>
      <c r="D11" s="42"/>
      <c r="E11" s="42"/>
      <c r="F11" s="42"/>
      <c r="G11" s="42"/>
      <c r="H11" s="42"/>
      <c r="I11" s="42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</row>
    <row r="12" spans="1:30" ht="12.75" customHeight="1" x14ac:dyDescent="0.2">
      <c r="A12" s="8" t="s">
        <v>17</v>
      </c>
      <c r="B12" s="20"/>
      <c r="C12" s="36"/>
      <c r="D12" s="36"/>
      <c r="E12" s="36"/>
      <c r="F12" s="36"/>
      <c r="G12" s="36"/>
      <c r="H12" s="36"/>
      <c r="I12" s="36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 ht="12.75" customHeight="1" x14ac:dyDescent="0.2">
      <c r="A13" s="6" t="s">
        <v>14</v>
      </c>
      <c r="B13" s="17"/>
      <c r="C13" s="34">
        <v>488</v>
      </c>
      <c r="D13" s="34">
        <v>485</v>
      </c>
      <c r="E13" s="34">
        <v>478</v>
      </c>
      <c r="F13" s="34">
        <v>472</v>
      </c>
      <c r="G13" s="34">
        <v>461</v>
      </c>
      <c r="H13" s="34">
        <v>458</v>
      </c>
      <c r="I13" s="34">
        <v>456</v>
      </c>
      <c r="J13" s="34">
        <v>451</v>
      </c>
      <c r="K13" s="34">
        <v>450</v>
      </c>
      <c r="L13" s="34">
        <v>442</v>
      </c>
      <c r="M13" s="34">
        <v>439</v>
      </c>
      <c r="N13" s="34">
        <v>435</v>
      </c>
      <c r="O13" s="34">
        <v>427</v>
      </c>
      <c r="P13" s="34">
        <v>425</v>
      </c>
      <c r="Q13" s="34">
        <v>417</v>
      </c>
      <c r="R13" s="34">
        <v>411</v>
      </c>
      <c r="S13" s="57">
        <v>401</v>
      </c>
      <c r="T13" s="57">
        <v>391</v>
      </c>
      <c r="U13" s="57">
        <v>386</v>
      </c>
      <c r="V13" s="57">
        <v>383</v>
      </c>
      <c r="W13" s="57">
        <v>378</v>
      </c>
      <c r="X13" s="57">
        <v>374</v>
      </c>
      <c r="Y13" s="57">
        <v>370</v>
      </c>
      <c r="Z13" s="57">
        <v>370</v>
      </c>
      <c r="AA13" s="57">
        <v>368</v>
      </c>
      <c r="AB13" s="57">
        <v>366</v>
      </c>
      <c r="AC13" s="57">
        <v>365</v>
      </c>
      <c r="AD13" s="57">
        <v>365</v>
      </c>
    </row>
    <row r="14" spans="1:30" ht="12.75" customHeight="1" x14ac:dyDescent="0.2">
      <c r="A14" s="6" t="s">
        <v>15</v>
      </c>
      <c r="B14" s="17"/>
      <c r="C14" s="34">
        <v>452</v>
      </c>
      <c r="D14" s="34">
        <v>445</v>
      </c>
      <c r="E14" s="34">
        <v>443</v>
      </c>
      <c r="F14" s="34">
        <v>437</v>
      </c>
      <c r="G14" s="34">
        <v>434</v>
      </c>
      <c r="H14" s="34">
        <v>432</v>
      </c>
      <c r="I14" s="34">
        <v>431</v>
      </c>
      <c r="J14" s="34">
        <v>429</v>
      </c>
      <c r="K14" s="34">
        <v>429</v>
      </c>
      <c r="L14" s="34">
        <v>422</v>
      </c>
      <c r="M14" s="34">
        <v>417</v>
      </c>
      <c r="N14" s="34">
        <v>417</v>
      </c>
      <c r="O14" s="34">
        <v>414</v>
      </c>
      <c r="P14" s="34">
        <v>413</v>
      </c>
      <c r="Q14" s="34">
        <v>411</v>
      </c>
      <c r="R14" s="34">
        <v>408</v>
      </c>
      <c r="S14" s="57">
        <v>404</v>
      </c>
      <c r="T14" s="57">
        <v>402</v>
      </c>
      <c r="U14" s="57">
        <v>398</v>
      </c>
      <c r="V14" s="57">
        <v>396</v>
      </c>
      <c r="W14" s="57">
        <v>392</v>
      </c>
      <c r="X14" s="57">
        <v>387</v>
      </c>
      <c r="Y14" s="57">
        <v>384</v>
      </c>
      <c r="Z14" s="57">
        <v>381</v>
      </c>
      <c r="AA14" s="57">
        <v>374</v>
      </c>
      <c r="AB14" s="57">
        <v>370</v>
      </c>
      <c r="AC14" s="57">
        <v>367</v>
      </c>
      <c r="AD14" s="57">
        <v>363</v>
      </c>
    </row>
    <row r="15" spans="1:30" ht="12.75" customHeight="1" x14ac:dyDescent="0.2">
      <c r="A15" s="6" t="s">
        <v>18</v>
      </c>
      <c r="B15" s="17" t="s">
        <v>22</v>
      </c>
      <c r="C15" s="34">
        <v>2</v>
      </c>
      <c r="D15" s="34">
        <v>2</v>
      </c>
      <c r="E15" s="34">
        <v>2</v>
      </c>
      <c r="F15" s="34">
        <v>2</v>
      </c>
      <c r="G15" s="34">
        <v>2</v>
      </c>
      <c r="H15" s="34">
        <v>3</v>
      </c>
      <c r="I15" s="34">
        <v>6</v>
      </c>
      <c r="J15" s="34">
        <v>6</v>
      </c>
      <c r="K15" s="34">
        <v>6</v>
      </c>
      <c r="L15" s="34">
        <v>6</v>
      </c>
      <c r="M15" s="34">
        <v>9</v>
      </c>
      <c r="N15" s="34">
        <v>11</v>
      </c>
      <c r="O15" s="34">
        <v>14</v>
      </c>
      <c r="P15" s="34">
        <v>15</v>
      </c>
      <c r="Q15" s="34">
        <v>16</v>
      </c>
      <c r="R15" s="34">
        <v>18</v>
      </c>
      <c r="S15" s="57">
        <v>20</v>
      </c>
      <c r="T15" s="57">
        <v>20</v>
      </c>
      <c r="U15" s="57">
        <v>20</v>
      </c>
      <c r="V15" s="57">
        <v>21</v>
      </c>
      <c r="W15" s="57">
        <v>23</v>
      </c>
      <c r="X15" s="57">
        <v>25</v>
      </c>
      <c r="Y15" s="57">
        <v>25</v>
      </c>
      <c r="Z15" s="57">
        <v>25</v>
      </c>
      <c r="AA15" s="57">
        <v>25</v>
      </c>
      <c r="AB15" s="57">
        <v>25</v>
      </c>
      <c r="AC15" s="57">
        <v>25</v>
      </c>
      <c r="AD15" s="57">
        <v>25</v>
      </c>
    </row>
    <row r="16" spans="1:30" ht="12.75" customHeight="1" x14ac:dyDescent="0.2">
      <c r="A16" s="6"/>
      <c r="B16" s="17" t="s">
        <v>19</v>
      </c>
      <c r="C16" s="34">
        <v>11</v>
      </c>
      <c r="D16" s="34">
        <v>11</v>
      </c>
      <c r="E16" s="34">
        <v>11</v>
      </c>
      <c r="F16" s="34">
        <v>10</v>
      </c>
      <c r="G16" s="34">
        <v>7</v>
      </c>
      <c r="H16" s="34">
        <v>6</v>
      </c>
      <c r="I16" s="34">
        <v>5</v>
      </c>
      <c r="J16" s="34">
        <v>5</v>
      </c>
      <c r="K16" s="34">
        <v>5</v>
      </c>
      <c r="L16" s="34">
        <v>5</v>
      </c>
      <c r="M16" s="34">
        <v>5</v>
      </c>
      <c r="N16" s="34">
        <v>5</v>
      </c>
      <c r="O16" s="34">
        <v>5</v>
      </c>
      <c r="P16" s="34">
        <v>5</v>
      </c>
      <c r="Q16" s="34">
        <v>5</v>
      </c>
      <c r="R16" s="34">
        <v>5</v>
      </c>
      <c r="S16" s="57">
        <v>4</v>
      </c>
      <c r="T16" s="57">
        <v>4</v>
      </c>
      <c r="U16" s="57">
        <v>4</v>
      </c>
      <c r="V16" s="57">
        <v>4</v>
      </c>
      <c r="W16" s="57">
        <v>4</v>
      </c>
      <c r="X16" s="57">
        <v>4</v>
      </c>
      <c r="Y16" s="57">
        <v>4</v>
      </c>
      <c r="Z16" s="57">
        <v>4</v>
      </c>
      <c r="AA16" s="57">
        <v>4</v>
      </c>
      <c r="AB16" s="57">
        <v>3</v>
      </c>
      <c r="AC16" s="57">
        <v>3</v>
      </c>
      <c r="AD16" s="57">
        <v>3</v>
      </c>
    </row>
    <row r="17" spans="1:30" ht="12.75" customHeight="1" x14ac:dyDescent="0.2">
      <c r="A17" s="6" t="s">
        <v>20</v>
      </c>
      <c r="B17" s="17"/>
      <c r="C17" s="34">
        <v>1</v>
      </c>
      <c r="D17" s="34">
        <v>3</v>
      </c>
      <c r="E17" s="34">
        <v>3</v>
      </c>
      <c r="F17" s="34">
        <v>3</v>
      </c>
      <c r="G17" s="34">
        <v>4</v>
      </c>
      <c r="H17" s="34">
        <v>6</v>
      </c>
      <c r="I17" s="34">
        <v>7</v>
      </c>
      <c r="J17" s="34">
        <v>10</v>
      </c>
      <c r="K17" s="34">
        <v>10</v>
      </c>
      <c r="L17" s="34">
        <v>10</v>
      </c>
      <c r="M17" s="34">
        <v>11</v>
      </c>
      <c r="N17" s="34">
        <v>11</v>
      </c>
      <c r="O17" s="34">
        <v>13</v>
      </c>
      <c r="P17" s="34">
        <v>14</v>
      </c>
      <c r="Q17" s="34">
        <v>15</v>
      </c>
      <c r="R17" s="34">
        <v>15</v>
      </c>
      <c r="S17" s="57">
        <v>16</v>
      </c>
      <c r="T17" s="57">
        <v>16</v>
      </c>
      <c r="U17" s="57">
        <v>18</v>
      </c>
      <c r="V17" s="57">
        <v>19</v>
      </c>
      <c r="W17" s="57">
        <v>19</v>
      </c>
      <c r="X17" s="57">
        <v>19</v>
      </c>
      <c r="Y17" s="57">
        <v>19</v>
      </c>
      <c r="Z17" s="57">
        <v>19</v>
      </c>
      <c r="AA17" s="57">
        <v>20</v>
      </c>
      <c r="AB17" s="57">
        <v>22</v>
      </c>
      <c r="AC17" s="57">
        <v>22</v>
      </c>
      <c r="AD17" s="57">
        <v>22</v>
      </c>
    </row>
    <row r="18" spans="1:30" ht="12.75" customHeight="1" x14ac:dyDescent="0.2">
      <c r="A18" s="6" t="s">
        <v>21</v>
      </c>
      <c r="B18" s="17"/>
      <c r="C18" s="34">
        <v>10</v>
      </c>
      <c r="D18" s="34">
        <v>11</v>
      </c>
      <c r="E18" s="34">
        <v>14</v>
      </c>
      <c r="F18" s="34">
        <v>14</v>
      </c>
      <c r="G18" s="34">
        <v>15</v>
      </c>
      <c r="H18" s="34">
        <v>15</v>
      </c>
      <c r="I18" s="34">
        <v>15</v>
      </c>
      <c r="J18" s="34">
        <v>15</v>
      </c>
      <c r="K18" s="34">
        <v>17</v>
      </c>
      <c r="L18" s="34">
        <v>17</v>
      </c>
      <c r="M18" s="34">
        <v>18</v>
      </c>
      <c r="N18" s="34">
        <v>18</v>
      </c>
      <c r="O18" s="34">
        <v>19</v>
      </c>
      <c r="P18" s="34">
        <v>22</v>
      </c>
      <c r="Q18" s="34">
        <v>22</v>
      </c>
      <c r="R18" s="34">
        <v>22</v>
      </c>
      <c r="S18" s="57">
        <v>23</v>
      </c>
      <c r="T18" s="57">
        <v>23</v>
      </c>
      <c r="U18" s="57">
        <v>23</v>
      </c>
      <c r="V18" s="57">
        <v>23</v>
      </c>
      <c r="W18" s="57">
        <v>23</v>
      </c>
      <c r="X18" s="57">
        <v>23</v>
      </c>
      <c r="Y18" s="57">
        <v>23</v>
      </c>
      <c r="Z18" s="57">
        <v>23</v>
      </c>
      <c r="AA18" s="57">
        <v>23</v>
      </c>
      <c r="AB18" s="57">
        <v>23</v>
      </c>
      <c r="AC18" s="57">
        <v>23</v>
      </c>
      <c r="AD18" s="57">
        <v>23</v>
      </c>
    </row>
    <row r="19" spans="1:30" ht="12.75" customHeight="1" x14ac:dyDescent="0.2">
      <c r="A19" s="8" t="s">
        <v>16</v>
      </c>
      <c r="B19" s="20"/>
      <c r="C19" s="43">
        <v>964</v>
      </c>
      <c r="D19" s="43">
        <v>957</v>
      </c>
      <c r="E19" s="43">
        <v>951</v>
      </c>
      <c r="F19" s="43">
        <v>938</v>
      </c>
      <c r="G19" s="43">
        <v>923</v>
      </c>
      <c r="H19" s="43">
        <v>920</v>
      </c>
      <c r="I19" s="43">
        <v>920</v>
      </c>
      <c r="J19" s="36">
        <f>SUM(J13:J18)</f>
        <v>916</v>
      </c>
      <c r="K19" s="36">
        <v>917</v>
      </c>
      <c r="L19" s="36">
        <f t="shared" ref="L19:Q19" si="4">SUM(L13:L18)</f>
        <v>902</v>
      </c>
      <c r="M19" s="36">
        <f t="shared" si="4"/>
        <v>899</v>
      </c>
      <c r="N19" s="36">
        <f t="shared" si="4"/>
        <v>897</v>
      </c>
      <c r="O19" s="36">
        <f t="shared" si="4"/>
        <v>892</v>
      </c>
      <c r="P19" s="36">
        <f t="shared" si="4"/>
        <v>894</v>
      </c>
      <c r="Q19" s="36">
        <f t="shared" si="4"/>
        <v>886</v>
      </c>
      <c r="R19" s="36">
        <f t="shared" ref="R19:W19" si="5">SUM(R13:R18)</f>
        <v>879</v>
      </c>
      <c r="S19" s="36">
        <f t="shared" si="5"/>
        <v>868</v>
      </c>
      <c r="T19" s="36">
        <f t="shared" si="5"/>
        <v>856</v>
      </c>
      <c r="U19" s="36">
        <f t="shared" si="5"/>
        <v>849</v>
      </c>
      <c r="V19" s="36">
        <f t="shared" si="5"/>
        <v>846</v>
      </c>
      <c r="W19" s="36">
        <f t="shared" si="5"/>
        <v>839</v>
      </c>
      <c r="X19" s="36">
        <f t="shared" ref="X19:AC19" si="6">SUM(X13:X18)</f>
        <v>832</v>
      </c>
      <c r="Y19" s="36">
        <f t="shared" si="6"/>
        <v>825</v>
      </c>
      <c r="Z19" s="36">
        <f t="shared" si="6"/>
        <v>822</v>
      </c>
      <c r="AA19" s="36">
        <f t="shared" si="6"/>
        <v>814</v>
      </c>
      <c r="AB19" s="36">
        <f t="shared" si="6"/>
        <v>809</v>
      </c>
      <c r="AC19" s="36">
        <f t="shared" si="6"/>
        <v>805</v>
      </c>
      <c r="AD19" s="36">
        <f t="shared" ref="AD19" si="7">SUM(AD13:AD18)</f>
        <v>801</v>
      </c>
    </row>
    <row r="20" spans="1:30" ht="12.75" customHeight="1" x14ac:dyDescent="0.2">
      <c r="A20" s="6" t="s">
        <v>82</v>
      </c>
      <c r="B20" s="20"/>
      <c r="C20" s="44">
        <v>26</v>
      </c>
      <c r="D20" s="45">
        <v>26</v>
      </c>
      <c r="E20" s="45">
        <v>25</v>
      </c>
      <c r="F20" s="45">
        <v>25</v>
      </c>
      <c r="G20" s="45">
        <v>25</v>
      </c>
      <c r="H20" s="45">
        <v>25</v>
      </c>
      <c r="I20" s="45">
        <v>25</v>
      </c>
      <c r="J20" s="34">
        <v>24</v>
      </c>
      <c r="K20" s="34">
        <v>24</v>
      </c>
      <c r="L20" s="34">
        <v>22</v>
      </c>
      <c r="M20" s="34">
        <v>21</v>
      </c>
      <c r="N20" s="34">
        <v>20</v>
      </c>
      <c r="O20" s="34">
        <v>19</v>
      </c>
      <c r="P20" s="34">
        <v>18</v>
      </c>
      <c r="Q20" s="34">
        <v>17</v>
      </c>
      <c r="R20" s="34">
        <v>17</v>
      </c>
      <c r="S20" s="34">
        <v>17</v>
      </c>
      <c r="T20" s="34">
        <v>17</v>
      </c>
      <c r="U20" s="34">
        <v>17</v>
      </c>
      <c r="V20" s="34">
        <v>17</v>
      </c>
      <c r="W20" s="34">
        <v>15</v>
      </c>
      <c r="X20" s="34">
        <v>15</v>
      </c>
      <c r="Y20" s="34">
        <v>14</v>
      </c>
      <c r="Z20" s="34">
        <v>14</v>
      </c>
      <c r="AA20" s="34">
        <v>13</v>
      </c>
      <c r="AB20" s="34">
        <v>12</v>
      </c>
      <c r="AC20" s="34">
        <v>12</v>
      </c>
      <c r="AD20" s="34">
        <v>12</v>
      </c>
    </row>
    <row r="21" spans="1:30" ht="12.75" customHeight="1" x14ac:dyDescent="0.2">
      <c r="A21" s="5"/>
      <c r="B21" s="21"/>
      <c r="C21" s="39">
        <f t="shared" ref="C21:N21" si="8">C20+C19</f>
        <v>990</v>
      </c>
      <c r="D21" s="39">
        <f t="shared" si="8"/>
        <v>983</v>
      </c>
      <c r="E21" s="39">
        <f t="shared" si="8"/>
        <v>976</v>
      </c>
      <c r="F21" s="39">
        <f t="shared" si="8"/>
        <v>963</v>
      </c>
      <c r="G21" s="39">
        <f t="shared" si="8"/>
        <v>948</v>
      </c>
      <c r="H21" s="39">
        <f t="shared" si="8"/>
        <v>945</v>
      </c>
      <c r="I21" s="39">
        <f t="shared" si="8"/>
        <v>945</v>
      </c>
      <c r="J21" s="39">
        <f t="shared" si="8"/>
        <v>940</v>
      </c>
      <c r="K21" s="39">
        <f t="shared" si="8"/>
        <v>941</v>
      </c>
      <c r="L21" s="39">
        <f t="shared" si="8"/>
        <v>924</v>
      </c>
      <c r="M21" s="39">
        <f t="shared" si="8"/>
        <v>920</v>
      </c>
      <c r="N21" s="39">
        <f t="shared" si="8"/>
        <v>917</v>
      </c>
      <c r="O21" s="39">
        <f t="shared" ref="O21:U21" si="9">O20+O19</f>
        <v>911</v>
      </c>
      <c r="P21" s="39">
        <f t="shared" si="9"/>
        <v>912</v>
      </c>
      <c r="Q21" s="39">
        <f t="shared" si="9"/>
        <v>903</v>
      </c>
      <c r="R21" s="39">
        <f t="shared" si="9"/>
        <v>896</v>
      </c>
      <c r="S21" s="39">
        <f t="shared" si="9"/>
        <v>885</v>
      </c>
      <c r="T21" s="39">
        <f t="shared" si="9"/>
        <v>873</v>
      </c>
      <c r="U21" s="39">
        <f t="shared" si="9"/>
        <v>866</v>
      </c>
      <c r="V21" s="39">
        <f t="shared" ref="V21:AA21" si="10">V20+V19</f>
        <v>863</v>
      </c>
      <c r="W21" s="39">
        <f t="shared" si="10"/>
        <v>854</v>
      </c>
      <c r="X21" s="39">
        <f t="shared" si="10"/>
        <v>847</v>
      </c>
      <c r="Y21" s="39">
        <f t="shared" si="10"/>
        <v>839</v>
      </c>
      <c r="Z21" s="39">
        <f t="shared" si="10"/>
        <v>836</v>
      </c>
      <c r="AA21" s="39">
        <f t="shared" si="10"/>
        <v>827</v>
      </c>
      <c r="AB21" s="39">
        <f t="shared" ref="AB21" si="11">AB20+AB19</f>
        <v>821</v>
      </c>
      <c r="AC21" s="39">
        <f t="shared" ref="AC21:AD21" si="12">AC20+AC19</f>
        <v>817</v>
      </c>
      <c r="AD21" s="39">
        <f t="shared" si="12"/>
        <v>813</v>
      </c>
    </row>
    <row r="22" spans="1:30" ht="12.75" customHeight="1" x14ac:dyDescent="0.2">
      <c r="B22" s="22"/>
      <c r="C22" s="42"/>
      <c r="D22" s="42"/>
      <c r="E22" s="42"/>
      <c r="F22" s="42"/>
      <c r="G22" s="42"/>
      <c r="H22" s="42"/>
      <c r="I22" s="42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spans="1:30" ht="12.75" customHeight="1" x14ac:dyDescent="0.2">
      <c r="A23" s="8" t="s">
        <v>30</v>
      </c>
      <c r="B23" s="20"/>
      <c r="C23" s="36"/>
      <c r="D23" s="36"/>
      <c r="E23" s="36"/>
      <c r="F23" s="36"/>
      <c r="G23" s="36"/>
      <c r="H23" s="36"/>
      <c r="I23" s="36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 ht="12.75" customHeight="1" x14ac:dyDescent="0.2">
      <c r="A24" s="8" t="s">
        <v>31</v>
      </c>
      <c r="B24" s="20"/>
      <c r="C24" s="36"/>
      <c r="D24" s="36"/>
      <c r="E24" s="36"/>
      <c r="F24" s="36"/>
      <c r="G24" s="36"/>
      <c r="H24" s="36"/>
      <c r="I24" s="36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ht="12.75" customHeight="1" x14ac:dyDescent="0.2">
      <c r="A25" s="6" t="s">
        <v>14</v>
      </c>
      <c r="B25" s="17"/>
      <c r="C25" s="34">
        <v>82</v>
      </c>
      <c r="D25" s="34">
        <v>81</v>
      </c>
      <c r="E25" s="34">
        <v>79</v>
      </c>
      <c r="F25" s="34">
        <v>77</v>
      </c>
      <c r="G25" s="34">
        <v>78</v>
      </c>
      <c r="H25" s="34">
        <v>77</v>
      </c>
      <c r="I25" s="34">
        <v>76</v>
      </c>
      <c r="J25" s="34">
        <v>72</v>
      </c>
      <c r="K25" s="34">
        <v>72</v>
      </c>
      <c r="L25" s="34">
        <v>72</v>
      </c>
      <c r="M25" s="34">
        <v>70</v>
      </c>
      <c r="N25" s="34">
        <v>69</v>
      </c>
      <c r="O25" s="34">
        <v>68</v>
      </c>
      <c r="P25" s="34">
        <v>66</v>
      </c>
      <c r="Q25" s="34">
        <v>66</v>
      </c>
      <c r="R25" s="34">
        <v>65</v>
      </c>
      <c r="S25" s="57">
        <v>63</v>
      </c>
      <c r="T25" s="57">
        <v>61</v>
      </c>
      <c r="U25" s="57">
        <v>57</v>
      </c>
      <c r="V25" s="57">
        <v>57</v>
      </c>
      <c r="W25" s="57">
        <v>56</v>
      </c>
      <c r="X25" s="57">
        <v>55</v>
      </c>
      <c r="Y25" s="57">
        <v>53</v>
      </c>
      <c r="Z25" s="57">
        <v>51</v>
      </c>
      <c r="AA25" s="57">
        <v>49</v>
      </c>
      <c r="AB25" s="57">
        <v>49</v>
      </c>
      <c r="AC25" s="57">
        <v>49</v>
      </c>
      <c r="AD25" s="57">
        <v>48</v>
      </c>
    </row>
    <row r="26" spans="1:30" ht="12.75" customHeight="1" x14ac:dyDescent="0.2">
      <c r="A26" s="6" t="s">
        <v>15</v>
      </c>
      <c r="B26" s="17"/>
      <c r="C26" s="34">
        <v>82</v>
      </c>
      <c r="D26" s="34">
        <v>80</v>
      </c>
      <c r="E26" s="34">
        <v>78</v>
      </c>
      <c r="F26" s="34">
        <v>78</v>
      </c>
      <c r="G26" s="34">
        <v>78</v>
      </c>
      <c r="H26" s="34">
        <v>78</v>
      </c>
      <c r="I26" s="34">
        <v>78</v>
      </c>
      <c r="J26" s="34">
        <v>77</v>
      </c>
      <c r="K26" s="34">
        <v>77</v>
      </c>
      <c r="L26" s="34">
        <v>76</v>
      </c>
      <c r="M26" s="34">
        <v>76</v>
      </c>
      <c r="N26" s="34">
        <v>76</v>
      </c>
      <c r="O26" s="34">
        <v>76</v>
      </c>
      <c r="P26" s="34">
        <v>76</v>
      </c>
      <c r="Q26" s="34">
        <v>75</v>
      </c>
      <c r="R26" s="34">
        <v>74</v>
      </c>
      <c r="S26" s="57">
        <v>73</v>
      </c>
      <c r="T26" s="57">
        <v>72</v>
      </c>
      <c r="U26" s="57">
        <v>72</v>
      </c>
      <c r="V26" s="57">
        <v>71</v>
      </c>
      <c r="W26" s="57">
        <v>71</v>
      </c>
      <c r="X26" s="57">
        <v>71</v>
      </c>
      <c r="Y26" s="57">
        <v>68</v>
      </c>
      <c r="Z26" s="57">
        <v>68</v>
      </c>
      <c r="AA26" s="57">
        <v>64</v>
      </c>
      <c r="AB26" s="57">
        <v>64</v>
      </c>
      <c r="AC26" s="57">
        <v>62</v>
      </c>
      <c r="AD26" s="57">
        <v>60</v>
      </c>
    </row>
    <row r="27" spans="1:30" ht="12.75" customHeight="1" x14ac:dyDescent="0.2">
      <c r="A27" s="6" t="s">
        <v>18</v>
      </c>
      <c r="B27" s="17" t="s">
        <v>22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57">
        <v>1</v>
      </c>
      <c r="T27" s="57">
        <v>1</v>
      </c>
      <c r="U27" s="57">
        <v>1</v>
      </c>
      <c r="V27" s="57">
        <v>1</v>
      </c>
      <c r="W27" s="57">
        <v>1</v>
      </c>
      <c r="X27" s="57">
        <v>1</v>
      </c>
      <c r="Y27" s="57">
        <v>1</v>
      </c>
      <c r="Z27" s="57">
        <v>1</v>
      </c>
      <c r="AA27" s="57">
        <v>2</v>
      </c>
      <c r="AB27" s="57">
        <v>2</v>
      </c>
      <c r="AC27" s="57">
        <v>2</v>
      </c>
      <c r="AD27" s="57">
        <v>2</v>
      </c>
    </row>
    <row r="28" spans="1:30" ht="12.75" customHeight="1" x14ac:dyDescent="0.2">
      <c r="A28" s="6"/>
      <c r="B28" s="17" t="s">
        <v>19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57">
        <v>0</v>
      </c>
      <c r="Z28" s="57">
        <v>0</v>
      </c>
      <c r="AA28" s="57">
        <v>0</v>
      </c>
      <c r="AB28" s="57">
        <v>0</v>
      </c>
      <c r="AC28" s="57">
        <v>0</v>
      </c>
      <c r="AD28" s="57">
        <v>0</v>
      </c>
    </row>
    <row r="29" spans="1:30" ht="12.75" customHeight="1" x14ac:dyDescent="0.2">
      <c r="A29" s="6" t="s">
        <v>20</v>
      </c>
      <c r="B29" s="17"/>
      <c r="C29" s="34">
        <v>0</v>
      </c>
      <c r="D29" s="34">
        <v>0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4</v>
      </c>
      <c r="K29" s="34">
        <v>4</v>
      </c>
      <c r="L29" s="34">
        <v>4</v>
      </c>
      <c r="M29" s="34">
        <v>4</v>
      </c>
      <c r="N29" s="34">
        <v>4</v>
      </c>
      <c r="O29" s="34">
        <v>4</v>
      </c>
      <c r="P29" s="34">
        <v>4</v>
      </c>
      <c r="Q29" s="34">
        <v>4</v>
      </c>
      <c r="R29" s="34">
        <v>4</v>
      </c>
      <c r="S29" s="57">
        <v>5</v>
      </c>
      <c r="T29" s="57">
        <v>4</v>
      </c>
      <c r="U29" s="57">
        <v>5</v>
      </c>
      <c r="V29" s="57">
        <v>5</v>
      </c>
      <c r="W29" s="57">
        <v>5</v>
      </c>
      <c r="X29" s="57">
        <v>5</v>
      </c>
      <c r="Y29" s="57">
        <v>5</v>
      </c>
      <c r="Z29" s="57">
        <v>5</v>
      </c>
      <c r="AA29" s="57">
        <v>5</v>
      </c>
      <c r="AB29" s="57">
        <v>5</v>
      </c>
      <c r="AC29" s="57">
        <v>5</v>
      </c>
      <c r="AD29" s="57">
        <v>5</v>
      </c>
    </row>
    <row r="30" spans="1:30" ht="12.75" customHeight="1" x14ac:dyDescent="0.2">
      <c r="A30" s="6" t="s">
        <v>21</v>
      </c>
      <c r="B30" s="17"/>
      <c r="C30" s="34">
        <v>2</v>
      </c>
      <c r="D30" s="34">
        <v>3</v>
      </c>
      <c r="E30" s="34">
        <v>3</v>
      </c>
      <c r="F30" s="34">
        <v>5</v>
      </c>
      <c r="G30" s="34">
        <v>8</v>
      </c>
      <c r="H30" s="34">
        <v>10</v>
      </c>
      <c r="I30" s="34">
        <v>10</v>
      </c>
      <c r="J30" s="34">
        <v>11</v>
      </c>
      <c r="K30" s="34">
        <v>12</v>
      </c>
      <c r="L30" s="34">
        <v>13</v>
      </c>
      <c r="M30" s="34">
        <v>13</v>
      </c>
      <c r="N30" s="34">
        <v>14</v>
      </c>
      <c r="O30" s="34">
        <v>14</v>
      </c>
      <c r="P30" s="34">
        <v>15</v>
      </c>
      <c r="Q30" s="34">
        <v>15</v>
      </c>
      <c r="R30" s="34">
        <v>15</v>
      </c>
      <c r="S30" s="57">
        <v>15</v>
      </c>
      <c r="T30" s="57">
        <v>16</v>
      </c>
      <c r="U30" s="57">
        <v>15</v>
      </c>
      <c r="V30" s="57">
        <v>15</v>
      </c>
      <c r="W30" s="57">
        <v>15</v>
      </c>
      <c r="X30" s="57">
        <v>15</v>
      </c>
      <c r="Y30" s="57">
        <v>15</v>
      </c>
      <c r="Z30" s="57">
        <v>15</v>
      </c>
      <c r="AA30" s="57">
        <v>15</v>
      </c>
      <c r="AB30" s="57">
        <v>15</v>
      </c>
      <c r="AC30" s="57">
        <v>15</v>
      </c>
      <c r="AD30" s="57">
        <v>15</v>
      </c>
    </row>
    <row r="31" spans="1:30" ht="12.75" customHeight="1" x14ac:dyDescent="0.2">
      <c r="A31" s="8" t="s">
        <v>16</v>
      </c>
      <c r="B31" s="20"/>
      <c r="C31" s="36">
        <v>166</v>
      </c>
      <c r="D31" s="36">
        <v>164</v>
      </c>
      <c r="E31" s="36">
        <v>161</v>
      </c>
      <c r="F31" s="36">
        <v>161</v>
      </c>
      <c r="G31" s="36">
        <v>165</v>
      </c>
      <c r="H31" s="36">
        <v>167</v>
      </c>
      <c r="I31" s="36">
        <v>166</v>
      </c>
      <c r="J31" s="36">
        <f>SUM(J25:J30)</f>
        <v>165</v>
      </c>
      <c r="K31" s="36">
        <v>166</v>
      </c>
      <c r="L31" s="36">
        <f t="shared" ref="L31:Q31" si="13">SUM(L25:L30)</f>
        <v>166</v>
      </c>
      <c r="M31" s="36">
        <f t="shared" si="13"/>
        <v>164</v>
      </c>
      <c r="N31" s="36">
        <f t="shared" si="13"/>
        <v>164</v>
      </c>
      <c r="O31" s="36">
        <f t="shared" si="13"/>
        <v>163</v>
      </c>
      <c r="P31" s="36">
        <f t="shared" si="13"/>
        <v>162</v>
      </c>
      <c r="Q31" s="36">
        <f t="shared" si="13"/>
        <v>161</v>
      </c>
      <c r="R31" s="36">
        <f t="shared" ref="R31:W31" si="14">SUM(R25:R30)</f>
        <v>159</v>
      </c>
      <c r="S31" s="36">
        <f t="shared" si="14"/>
        <v>157</v>
      </c>
      <c r="T31" s="36">
        <f t="shared" si="14"/>
        <v>154</v>
      </c>
      <c r="U31" s="36">
        <f t="shared" si="14"/>
        <v>150</v>
      </c>
      <c r="V31" s="36">
        <f t="shared" si="14"/>
        <v>149</v>
      </c>
      <c r="W31" s="36">
        <f t="shared" si="14"/>
        <v>148</v>
      </c>
      <c r="X31" s="36">
        <f t="shared" ref="X31:AC31" si="15">SUM(X25:X30)</f>
        <v>147</v>
      </c>
      <c r="Y31" s="36">
        <f t="shared" si="15"/>
        <v>142</v>
      </c>
      <c r="Z31" s="36">
        <f t="shared" si="15"/>
        <v>140</v>
      </c>
      <c r="AA31" s="36">
        <f t="shared" si="15"/>
        <v>135</v>
      </c>
      <c r="AB31" s="36">
        <f t="shared" si="15"/>
        <v>135</v>
      </c>
      <c r="AC31" s="36">
        <f t="shared" si="15"/>
        <v>133</v>
      </c>
      <c r="AD31" s="36">
        <f t="shared" ref="AD31" si="16">SUM(AD25:AD30)</f>
        <v>130</v>
      </c>
    </row>
    <row r="32" spans="1:30" ht="12.75" customHeight="1" x14ac:dyDescent="0.2">
      <c r="A32" s="8"/>
      <c r="B32" s="20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ht="12.75" customHeight="1" x14ac:dyDescent="0.2">
      <c r="A33" s="8" t="s">
        <v>23</v>
      </c>
      <c r="B33" s="20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ht="12.75" customHeight="1" x14ac:dyDescent="0.2">
      <c r="A34" s="6" t="s">
        <v>14</v>
      </c>
      <c r="B34" s="17"/>
      <c r="C34" s="34">
        <v>18</v>
      </c>
      <c r="D34" s="34">
        <v>18</v>
      </c>
      <c r="E34" s="34">
        <v>18</v>
      </c>
      <c r="F34" s="34">
        <v>18</v>
      </c>
      <c r="G34" s="34">
        <v>18</v>
      </c>
      <c r="H34" s="34">
        <v>18</v>
      </c>
      <c r="I34" s="34">
        <v>18</v>
      </c>
      <c r="J34" s="34">
        <v>18</v>
      </c>
      <c r="K34" s="34">
        <v>18</v>
      </c>
      <c r="L34" s="34">
        <v>18</v>
      </c>
      <c r="M34" s="34">
        <v>17</v>
      </c>
      <c r="N34" s="34">
        <v>17</v>
      </c>
      <c r="O34" s="34">
        <v>17</v>
      </c>
      <c r="P34" s="34">
        <v>17</v>
      </c>
      <c r="Q34" s="34">
        <v>17</v>
      </c>
      <c r="R34" s="34">
        <v>17</v>
      </c>
      <c r="S34" s="57">
        <v>17</v>
      </c>
      <c r="T34" s="57">
        <v>17</v>
      </c>
      <c r="U34" s="57">
        <v>17</v>
      </c>
      <c r="V34" s="57">
        <v>17</v>
      </c>
      <c r="W34" s="57">
        <v>17</v>
      </c>
      <c r="X34" s="57">
        <v>17</v>
      </c>
      <c r="Y34" s="57">
        <v>17</v>
      </c>
      <c r="Z34" s="57">
        <v>18</v>
      </c>
      <c r="AA34" s="57">
        <v>17</v>
      </c>
      <c r="AB34" s="57">
        <v>16</v>
      </c>
      <c r="AC34" s="57">
        <v>16</v>
      </c>
      <c r="AD34" s="57">
        <v>16</v>
      </c>
    </row>
    <row r="35" spans="1:30" ht="12.75" customHeight="1" x14ac:dyDescent="0.2">
      <c r="A35" s="6" t="s">
        <v>24</v>
      </c>
      <c r="B35" s="17" t="s">
        <v>74</v>
      </c>
      <c r="C35" s="34">
        <v>30</v>
      </c>
      <c r="D35" s="34">
        <v>30</v>
      </c>
      <c r="E35" s="34">
        <v>31</v>
      </c>
      <c r="F35" s="34">
        <v>31</v>
      </c>
      <c r="G35" s="34">
        <v>31</v>
      </c>
      <c r="H35" s="34">
        <v>31</v>
      </c>
      <c r="I35" s="34">
        <v>32</v>
      </c>
      <c r="J35" s="34">
        <v>32</v>
      </c>
      <c r="K35" s="34">
        <v>32</v>
      </c>
      <c r="L35" s="34">
        <v>32</v>
      </c>
      <c r="M35" s="34">
        <v>32</v>
      </c>
      <c r="N35" s="34">
        <v>32</v>
      </c>
      <c r="O35" s="34">
        <v>31</v>
      </c>
      <c r="P35" s="34">
        <v>31</v>
      </c>
      <c r="Q35" s="34">
        <v>30</v>
      </c>
      <c r="R35" s="34">
        <v>30</v>
      </c>
      <c r="S35" s="57">
        <v>30</v>
      </c>
      <c r="T35" s="57">
        <v>30</v>
      </c>
      <c r="U35" s="57">
        <v>30</v>
      </c>
      <c r="V35" s="57">
        <v>29</v>
      </c>
      <c r="W35" s="57">
        <v>29</v>
      </c>
      <c r="X35" s="57">
        <v>29</v>
      </c>
      <c r="Y35" s="57">
        <v>29</v>
      </c>
      <c r="Z35" s="57">
        <v>29</v>
      </c>
      <c r="AA35" s="57">
        <v>29</v>
      </c>
      <c r="AB35" s="57">
        <v>29</v>
      </c>
      <c r="AC35" s="57">
        <v>29</v>
      </c>
      <c r="AD35" s="57">
        <v>29</v>
      </c>
    </row>
    <row r="36" spans="1:30" ht="12.75" customHeight="1" x14ac:dyDescent="0.2">
      <c r="A36" s="6"/>
      <c r="B36" s="17" t="s">
        <v>75</v>
      </c>
      <c r="C36" s="34">
        <v>22</v>
      </c>
      <c r="D36" s="34">
        <v>22</v>
      </c>
      <c r="E36" s="34">
        <v>22</v>
      </c>
      <c r="F36" s="34">
        <v>22</v>
      </c>
      <c r="G36" s="34">
        <v>22</v>
      </c>
      <c r="H36" s="34">
        <v>22</v>
      </c>
      <c r="I36" s="34">
        <v>22</v>
      </c>
      <c r="J36" s="34">
        <v>22</v>
      </c>
      <c r="K36" s="34">
        <v>22</v>
      </c>
      <c r="L36" s="34">
        <v>22</v>
      </c>
      <c r="M36" s="34">
        <v>22</v>
      </c>
      <c r="N36" s="34">
        <v>22</v>
      </c>
      <c r="O36" s="34">
        <v>22</v>
      </c>
      <c r="P36" s="34">
        <v>22</v>
      </c>
      <c r="Q36" s="34">
        <v>22</v>
      </c>
      <c r="R36" s="34">
        <v>22</v>
      </c>
      <c r="S36" s="57">
        <v>22</v>
      </c>
      <c r="T36" s="57">
        <v>22</v>
      </c>
      <c r="U36" s="57">
        <v>22</v>
      </c>
      <c r="V36" s="57">
        <v>22</v>
      </c>
      <c r="W36" s="57">
        <v>22</v>
      </c>
      <c r="X36" s="57">
        <v>22</v>
      </c>
      <c r="Y36" s="57">
        <v>22</v>
      </c>
      <c r="Z36" s="57">
        <v>21</v>
      </c>
      <c r="AA36" s="57">
        <v>21</v>
      </c>
      <c r="AB36" s="57">
        <v>21</v>
      </c>
      <c r="AC36" s="57">
        <v>21</v>
      </c>
      <c r="AD36" s="57">
        <v>21</v>
      </c>
    </row>
    <row r="37" spans="1:30" ht="12.75" customHeight="1" x14ac:dyDescent="0.2">
      <c r="A37" s="8" t="s">
        <v>16</v>
      </c>
      <c r="B37" s="20"/>
      <c r="C37" s="36">
        <v>70</v>
      </c>
      <c r="D37" s="36">
        <v>70</v>
      </c>
      <c r="E37" s="36">
        <v>71</v>
      </c>
      <c r="F37" s="36">
        <v>71</v>
      </c>
      <c r="G37" s="36">
        <v>71</v>
      </c>
      <c r="H37" s="36">
        <v>71</v>
      </c>
      <c r="I37" s="36">
        <v>72</v>
      </c>
      <c r="J37" s="36">
        <f>SUM(J34:J36)</f>
        <v>72</v>
      </c>
      <c r="K37" s="36">
        <v>72</v>
      </c>
      <c r="L37" s="36">
        <v>72</v>
      </c>
      <c r="M37" s="36">
        <f t="shared" ref="M37:R37" si="17">SUM(M34:M36)</f>
        <v>71</v>
      </c>
      <c r="N37" s="36">
        <f t="shared" si="17"/>
        <v>71</v>
      </c>
      <c r="O37" s="36">
        <f t="shared" si="17"/>
        <v>70</v>
      </c>
      <c r="P37" s="36">
        <f t="shared" si="17"/>
        <v>70</v>
      </c>
      <c r="Q37" s="36">
        <f t="shared" si="17"/>
        <v>69</v>
      </c>
      <c r="R37" s="36">
        <f t="shared" si="17"/>
        <v>69</v>
      </c>
      <c r="S37" s="36">
        <v>69</v>
      </c>
      <c r="T37" s="36">
        <v>69</v>
      </c>
      <c r="U37" s="36">
        <v>69</v>
      </c>
      <c r="V37" s="36">
        <v>68</v>
      </c>
      <c r="W37" s="36">
        <v>68</v>
      </c>
      <c r="X37" s="36">
        <v>68</v>
      </c>
      <c r="Y37" s="36">
        <v>68</v>
      </c>
      <c r="Z37" s="36">
        <v>68</v>
      </c>
      <c r="AA37" s="36">
        <v>67</v>
      </c>
      <c r="AB37" s="36">
        <v>66</v>
      </c>
      <c r="AC37" s="36">
        <v>66</v>
      </c>
      <c r="AD37" s="36">
        <v>66</v>
      </c>
    </row>
    <row r="38" spans="1:30" s="10" customFormat="1" ht="12.75" customHeight="1" x14ac:dyDescent="0.2">
      <c r="A38" s="4" t="s">
        <v>32</v>
      </c>
      <c r="B38" s="21"/>
      <c r="C38" s="39">
        <f t="shared" ref="C38:N38" si="18">C37+C31</f>
        <v>236</v>
      </c>
      <c r="D38" s="39">
        <f t="shared" si="18"/>
        <v>234</v>
      </c>
      <c r="E38" s="39">
        <f t="shared" si="18"/>
        <v>232</v>
      </c>
      <c r="F38" s="39">
        <f t="shared" si="18"/>
        <v>232</v>
      </c>
      <c r="G38" s="39">
        <f t="shared" si="18"/>
        <v>236</v>
      </c>
      <c r="H38" s="39">
        <f t="shared" si="18"/>
        <v>238</v>
      </c>
      <c r="I38" s="39">
        <f t="shared" si="18"/>
        <v>238</v>
      </c>
      <c r="J38" s="39">
        <f t="shared" si="18"/>
        <v>237</v>
      </c>
      <c r="K38" s="39">
        <f t="shared" si="18"/>
        <v>238</v>
      </c>
      <c r="L38" s="39">
        <f t="shared" si="18"/>
        <v>238</v>
      </c>
      <c r="M38" s="39">
        <f t="shared" si="18"/>
        <v>235</v>
      </c>
      <c r="N38" s="39">
        <f t="shared" si="18"/>
        <v>235</v>
      </c>
      <c r="O38" s="39">
        <f t="shared" ref="O38:U38" si="19">O37+O31</f>
        <v>233</v>
      </c>
      <c r="P38" s="39">
        <f t="shared" si="19"/>
        <v>232</v>
      </c>
      <c r="Q38" s="39">
        <f t="shared" si="19"/>
        <v>230</v>
      </c>
      <c r="R38" s="39">
        <f t="shared" si="19"/>
        <v>228</v>
      </c>
      <c r="S38" s="39">
        <f t="shared" si="19"/>
        <v>226</v>
      </c>
      <c r="T38" s="39">
        <f t="shared" si="19"/>
        <v>223</v>
      </c>
      <c r="U38" s="39">
        <f t="shared" si="19"/>
        <v>219</v>
      </c>
      <c r="V38" s="39">
        <f t="shared" ref="V38:AA38" si="20">V37+V31</f>
        <v>217</v>
      </c>
      <c r="W38" s="39">
        <f t="shared" si="20"/>
        <v>216</v>
      </c>
      <c r="X38" s="39">
        <f t="shared" si="20"/>
        <v>215</v>
      </c>
      <c r="Y38" s="39">
        <f t="shared" si="20"/>
        <v>210</v>
      </c>
      <c r="Z38" s="39">
        <f t="shared" si="20"/>
        <v>208</v>
      </c>
      <c r="AA38" s="39">
        <f t="shared" si="20"/>
        <v>202</v>
      </c>
      <c r="AB38" s="39">
        <f t="shared" ref="AB38" si="21">AB37+AB31</f>
        <v>201</v>
      </c>
      <c r="AC38" s="39">
        <f t="shared" ref="AC38:AD38" si="22">AC37+AC31</f>
        <v>199</v>
      </c>
      <c r="AD38" s="39">
        <f t="shared" si="22"/>
        <v>196</v>
      </c>
    </row>
    <row r="39" spans="1:30" ht="12.75" customHeight="1" x14ac:dyDescent="0.2">
      <c r="A39" s="2"/>
      <c r="B39" s="19"/>
      <c r="C39" s="42"/>
      <c r="D39" s="42"/>
      <c r="E39" s="42"/>
      <c r="F39" s="42"/>
      <c r="G39" s="42"/>
      <c r="H39" s="42"/>
      <c r="I39" s="42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 ht="12.75" customHeight="1" x14ac:dyDescent="0.2">
      <c r="A40" s="8" t="s">
        <v>72</v>
      </c>
      <c r="B40" s="20" t="s">
        <v>16</v>
      </c>
      <c r="C40" s="44">
        <v>46</v>
      </c>
      <c r="D40" s="44">
        <v>46</v>
      </c>
      <c r="E40" s="44">
        <v>46</v>
      </c>
      <c r="F40" s="44">
        <v>47</v>
      </c>
      <c r="G40" s="44">
        <v>47</v>
      </c>
      <c r="H40" s="44">
        <v>47</v>
      </c>
      <c r="I40" s="34">
        <v>47</v>
      </c>
      <c r="J40" s="34">
        <v>47</v>
      </c>
      <c r="K40" s="34">
        <v>50</v>
      </c>
      <c r="L40" s="34">
        <v>48</v>
      </c>
      <c r="M40" s="34">
        <v>48</v>
      </c>
      <c r="N40" s="34">
        <v>47</v>
      </c>
      <c r="O40" s="34">
        <v>47</v>
      </c>
      <c r="P40" s="34">
        <v>45</v>
      </c>
      <c r="Q40" s="34">
        <v>45</v>
      </c>
      <c r="R40" s="34">
        <v>45</v>
      </c>
      <c r="S40" s="57">
        <v>43</v>
      </c>
      <c r="T40" s="57">
        <v>42</v>
      </c>
      <c r="U40" s="57">
        <v>41</v>
      </c>
      <c r="V40" s="57">
        <v>41</v>
      </c>
      <c r="W40" s="57">
        <v>41</v>
      </c>
      <c r="X40" s="57">
        <v>40</v>
      </c>
      <c r="Y40" s="57">
        <v>40</v>
      </c>
      <c r="Z40" s="57">
        <v>39</v>
      </c>
      <c r="AA40" s="57">
        <v>39</v>
      </c>
      <c r="AB40" s="57">
        <v>39</v>
      </c>
      <c r="AC40" s="57">
        <v>39</v>
      </c>
      <c r="AD40" s="57">
        <v>39</v>
      </c>
    </row>
    <row r="41" spans="1:30" ht="12.75" customHeight="1" x14ac:dyDescent="0.2">
      <c r="A41" s="8" t="s">
        <v>115</v>
      </c>
      <c r="B41" s="20" t="s">
        <v>16</v>
      </c>
      <c r="C41" s="44"/>
      <c r="D41" s="44"/>
      <c r="E41" s="44"/>
      <c r="F41" s="44"/>
      <c r="G41" s="44"/>
      <c r="H41" s="44"/>
      <c r="I41" s="34"/>
      <c r="J41" s="58" t="s">
        <v>116</v>
      </c>
      <c r="K41" s="58" t="s">
        <v>116</v>
      </c>
      <c r="L41" s="58" t="s">
        <v>116</v>
      </c>
      <c r="M41" s="58" t="s">
        <v>116</v>
      </c>
      <c r="N41" s="58" t="s">
        <v>116</v>
      </c>
      <c r="O41" s="58" t="s">
        <v>116</v>
      </c>
      <c r="P41" s="58" t="s">
        <v>116</v>
      </c>
      <c r="Q41" s="58" t="s">
        <v>116</v>
      </c>
      <c r="R41" s="58" t="s">
        <v>116</v>
      </c>
      <c r="S41" s="58" t="s">
        <v>116</v>
      </c>
      <c r="T41" s="58" t="s">
        <v>116</v>
      </c>
      <c r="U41" s="58" t="s">
        <v>116</v>
      </c>
      <c r="V41" s="58" t="s">
        <v>116</v>
      </c>
      <c r="W41" s="58" t="s">
        <v>116</v>
      </c>
      <c r="X41" s="58" t="s">
        <v>116</v>
      </c>
      <c r="Y41" s="58" t="s">
        <v>116</v>
      </c>
      <c r="Z41" s="58" t="s">
        <v>116</v>
      </c>
      <c r="AA41" s="58" t="s">
        <v>116</v>
      </c>
      <c r="AB41" s="58" t="s">
        <v>116</v>
      </c>
      <c r="AC41" s="57">
        <v>15</v>
      </c>
      <c r="AD41" s="57">
        <v>15</v>
      </c>
    </row>
    <row r="42" spans="1:30" ht="12.75" customHeight="1" x14ac:dyDescent="0.2">
      <c r="A42" s="8" t="s">
        <v>25</v>
      </c>
      <c r="B42" s="20" t="s">
        <v>16</v>
      </c>
      <c r="C42" s="44">
        <v>6</v>
      </c>
      <c r="D42" s="44">
        <v>3</v>
      </c>
      <c r="E42" s="44">
        <v>3</v>
      </c>
      <c r="F42" s="44">
        <v>3</v>
      </c>
      <c r="G42" s="44">
        <v>3</v>
      </c>
      <c r="H42" s="44">
        <v>3</v>
      </c>
      <c r="I42" s="34">
        <v>3</v>
      </c>
      <c r="J42" s="34">
        <v>3</v>
      </c>
      <c r="K42" s="34">
        <v>3</v>
      </c>
      <c r="L42" s="34">
        <v>3</v>
      </c>
      <c r="M42" s="34">
        <v>3</v>
      </c>
      <c r="N42" s="34">
        <v>3</v>
      </c>
      <c r="O42" s="34">
        <v>3</v>
      </c>
      <c r="P42" s="34">
        <v>3</v>
      </c>
      <c r="Q42" s="34">
        <v>3</v>
      </c>
      <c r="R42" s="34">
        <v>3</v>
      </c>
      <c r="S42" s="57">
        <v>2</v>
      </c>
      <c r="T42" s="57">
        <v>2</v>
      </c>
      <c r="U42" s="57">
        <v>2</v>
      </c>
      <c r="V42" s="57">
        <v>2</v>
      </c>
      <c r="W42" s="57">
        <v>2</v>
      </c>
      <c r="X42" s="57">
        <v>1</v>
      </c>
      <c r="Y42" s="57">
        <v>1</v>
      </c>
      <c r="Z42" s="57">
        <v>1</v>
      </c>
      <c r="AA42" s="57">
        <v>1</v>
      </c>
      <c r="AB42" s="57">
        <v>1</v>
      </c>
      <c r="AC42" s="57">
        <v>1</v>
      </c>
      <c r="AD42" s="57">
        <v>1</v>
      </c>
    </row>
    <row r="43" spans="1:30" ht="12.75" customHeight="1" x14ac:dyDescent="0.2">
      <c r="A43" s="8" t="s">
        <v>26</v>
      </c>
      <c r="B43" s="20" t="s">
        <v>16</v>
      </c>
      <c r="C43" s="34">
        <v>18</v>
      </c>
      <c r="D43" s="34">
        <v>18</v>
      </c>
      <c r="E43" s="34">
        <v>21</v>
      </c>
      <c r="F43" s="34">
        <v>20</v>
      </c>
      <c r="G43" s="34">
        <v>21</v>
      </c>
      <c r="H43" s="34">
        <v>19</v>
      </c>
      <c r="I43" s="34">
        <v>22</v>
      </c>
      <c r="J43" s="34">
        <v>22</v>
      </c>
      <c r="K43" s="34">
        <v>22</v>
      </c>
      <c r="L43" s="34">
        <v>27</v>
      </c>
      <c r="M43" s="34">
        <v>25</v>
      </c>
      <c r="N43" s="34">
        <v>22</v>
      </c>
      <c r="O43" s="34">
        <v>17</v>
      </c>
      <c r="P43" s="34">
        <v>17</v>
      </c>
      <c r="Q43" s="34">
        <v>19</v>
      </c>
      <c r="R43" s="34">
        <v>18</v>
      </c>
      <c r="S43" s="57">
        <v>17</v>
      </c>
      <c r="T43" s="57">
        <v>16</v>
      </c>
      <c r="U43" s="57">
        <v>14</v>
      </c>
      <c r="V43" s="57">
        <v>15</v>
      </c>
      <c r="W43" s="57">
        <v>15</v>
      </c>
      <c r="X43" s="57">
        <v>15</v>
      </c>
      <c r="Y43" s="57">
        <v>15</v>
      </c>
      <c r="Z43" s="57">
        <v>14</v>
      </c>
      <c r="AA43" s="57">
        <v>14</v>
      </c>
      <c r="AB43" s="57">
        <v>14</v>
      </c>
      <c r="AC43" s="57">
        <v>14</v>
      </c>
      <c r="AD43" s="57">
        <v>14</v>
      </c>
    </row>
    <row r="44" spans="1:30" ht="12.75" customHeight="1" x14ac:dyDescent="0.2">
      <c r="A44" s="3"/>
      <c r="B44" s="19"/>
      <c r="C44" s="42"/>
      <c r="D44" s="42"/>
      <c r="E44" s="42"/>
      <c r="F44" s="42"/>
      <c r="G44" s="42"/>
      <c r="H44" s="42"/>
      <c r="I44" s="42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 s="10" customFormat="1" ht="12.75" customHeight="1" x14ac:dyDescent="0.2">
      <c r="A45" s="4" t="s">
        <v>27</v>
      </c>
      <c r="B45" s="21" t="s">
        <v>28</v>
      </c>
      <c r="C45" s="39">
        <f t="shared" ref="C45:AC45" si="23">SUM(C10+C19+C31+C37+C40+C42+C43)</f>
        <v>1358</v>
      </c>
      <c r="D45" s="39">
        <f t="shared" si="23"/>
        <v>1346</v>
      </c>
      <c r="E45" s="39">
        <f t="shared" si="23"/>
        <v>1342</v>
      </c>
      <c r="F45" s="39">
        <f t="shared" si="23"/>
        <v>1331</v>
      </c>
      <c r="G45" s="39">
        <f t="shared" si="23"/>
        <v>1321</v>
      </c>
      <c r="H45" s="39">
        <f t="shared" si="23"/>
        <v>1318</v>
      </c>
      <c r="I45" s="39">
        <f t="shared" si="23"/>
        <v>1321</v>
      </c>
      <c r="J45" s="39">
        <f t="shared" si="23"/>
        <v>1316</v>
      </c>
      <c r="K45" s="39">
        <f t="shared" si="23"/>
        <v>1325</v>
      </c>
      <c r="L45" s="39">
        <f t="shared" si="23"/>
        <v>1313</v>
      </c>
      <c r="M45" s="39">
        <f t="shared" si="23"/>
        <v>1306</v>
      </c>
      <c r="N45" s="39">
        <f t="shared" si="23"/>
        <v>1304</v>
      </c>
      <c r="O45" s="39">
        <f t="shared" si="23"/>
        <v>1292</v>
      </c>
      <c r="P45" s="39">
        <f t="shared" si="23"/>
        <v>1290</v>
      </c>
      <c r="Q45" s="39">
        <f t="shared" si="23"/>
        <v>1283</v>
      </c>
      <c r="R45" s="39">
        <f t="shared" si="23"/>
        <v>1272</v>
      </c>
      <c r="S45" s="39">
        <f t="shared" si="23"/>
        <v>1254</v>
      </c>
      <c r="T45" s="39">
        <f t="shared" si="23"/>
        <v>1237</v>
      </c>
      <c r="U45" s="39">
        <f t="shared" si="23"/>
        <v>1223</v>
      </c>
      <c r="V45" s="39">
        <f t="shared" si="23"/>
        <v>1219</v>
      </c>
      <c r="W45" s="39">
        <f t="shared" si="23"/>
        <v>1210</v>
      </c>
      <c r="X45" s="39">
        <f t="shared" si="23"/>
        <v>1200</v>
      </c>
      <c r="Y45" s="39">
        <f t="shared" si="23"/>
        <v>1187</v>
      </c>
      <c r="Z45" s="39">
        <f t="shared" si="23"/>
        <v>1180</v>
      </c>
      <c r="AA45" s="39">
        <f t="shared" si="23"/>
        <v>1166</v>
      </c>
      <c r="AB45" s="39">
        <f t="shared" si="23"/>
        <v>1159</v>
      </c>
      <c r="AC45" s="39">
        <f t="shared" si="23"/>
        <v>1153</v>
      </c>
      <c r="AD45" s="39">
        <f>SUM(AD10+AD19+AD31+AD37+AD40+AD42+AD43)</f>
        <v>1146</v>
      </c>
    </row>
    <row r="46" spans="1:30" ht="12.75" customHeight="1" x14ac:dyDescent="0.2">
      <c r="A46" s="2"/>
      <c r="B46" s="19"/>
      <c r="C46" s="42"/>
      <c r="D46" s="42"/>
      <c r="E46" s="42"/>
      <c r="F46" s="42"/>
      <c r="G46" s="42"/>
      <c r="H46" s="42"/>
      <c r="I46" s="42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 ht="12.75" customHeight="1" x14ac:dyDescent="0.2">
      <c r="A47" s="4" t="s">
        <v>93</v>
      </c>
      <c r="B47" s="18"/>
      <c r="C47" s="39">
        <f t="shared" ref="C47:AB47" si="24">C45+C5</f>
        <v>1358</v>
      </c>
      <c r="D47" s="39">
        <f t="shared" si="24"/>
        <v>1346</v>
      </c>
      <c r="E47" s="39">
        <f t="shared" si="24"/>
        <v>1342</v>
      </c>
      <c r="F47" s="39">
        <f t="shared" si="24"/>
        <v>1331</v>
      </c>
      <c r="G47" s="39">
        <f t="shared" si="24"/>
        <v>1321</v>
      </c>
      <c r="H47" s="39">
        <f t="shared" si="24"/>
        <v>1318</v>
      </c>
      <c r="I47" s="39">
        <f t="shared" si="24"/>
        <v>1321</v>
      </c>
      <c r="J47" s="39">
        <f t="shared" si="24"/>
        <v>1506</v>
      </c>
      <c r="K47" s="39">
        <f t="shared" si="24"/>
        <v>1593</v>
      </c>
      <c r="L47" s="39">
        <f t="shared" si="24"/>
        <v>1618</v>
      </c>
      <c r="M47" s="39">
        <f t="shared" si="24"/>
        <v>1666</v>
      </c>
      <c r="N47" s="39">
        <f t="shared" si="24"/>
        <v>1667</v>
      </c>
      <c r="O47" s="39">
        <f t="shared" si="24"/>
        <v>1675</v>
      </c>
      <c r="P47" s="39">
        <f t="shared" si="24"/>
        <v>1654</v>
      </c>
      <c r="Q47" s="39">
        <f t="shared" si="24"/>
        <v>1649</v>
      </c>
      <c r="R47" s="39">
        <f t="shared" si="24"/>
        <v>1644</v>
      </c>
      <c r="S47" s="39">
        <f t="shared" si="24"/>
        <v>1620</v>
      </c>
      <c r="T47" s="39">
        <f t="shared" si="24"/>
        <v>1591</v>
      </c>
      <c r="U47" s="39">
        <f t="shared" si="24"/>
        <v>1581</v>
      </c>
      <c r="V47" s="39">
        <f t="shared" si="24"/>
        <v>1599</v>
      </c>
      <c r="W47" s="39">
        <f t="shared" si="24"/>
        <v>1591</v>
      </c>
      <c r="X47" s="39">
        <f t="shared" si="24"/>
        <v>1590</v>
      </c>
      <c r="Y47" s="39">
        <f t="shared" si="24"/>
        <v>1583</v>
      </c>
      <c r="Z47" s="39">
        <f t="shared" si="24"/>
        <v>1581</v>
      </c>
      <c r="AA47" s="39">
        <f t="shared" si="24"/>
        <v>1571</v>
      </c>
      <c r="AB47" s="39">
        <f t="shared" si="24"/>
        <v>1558</v>
      </c>
      <c r="AC47" s="39">
        <f>AC45+AC5</f>
        <v>1536</v>
      </c>
      <c r="AD47" s="39">
        <f>AD45+AD5</f>
        <v>1532</v>
      </c>
    </row>
    <row r="48" spans="1:30" ht="12.75" customHeight="1" x14ac:dyDescent="0.2"/>
    <row r="49" spans="1:30" ht="12.75" customHeight="1" x14ac:dyDescent="0.2">
      <c r="A49" s="31" t="s">
        <v>121</v>
      </c>
      <c r="B49" s="32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ht="12.75" customHeight="1" x14ac:dyDescent="0.2">
      <c r="A50" s="33" t="s">
        <v>73</v>
      </c>
      <c r="B50" s="32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ht="12.75" customHeight="1" x14ac:dyDescent="0.2">
      <c r="A51" s="31" t="s">
        <v>34</v>
      </c>
      <c r="B51" s="6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2">
      <c r="A52" s="53" t="s">
        <v>78</v>
      </c>
      <c r="B52" s="32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2">
      <c r="A53" s="66" t="s">
        <v>123</v>
      </c>
      <c r="B53" s="55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2">
      <c r="A54" s="62" t="s">
        <v>122</v>
      </c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5"/>
      <c r="Q54" s="65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</sheetData>
  <phoneticPr fontId="0" type="noConversion"/>
  <pageMargins left="0.75" right="0.75" top="1" bottom="1" header="0.5" footer="0.5"/>
  <pageSetup paperSize="9" scale="6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48"/>
  <sheetViews>
    <sheetView topLeftCell="A16" zoomScale="80" workbookViewId="0">
      <pane xSplit="2" topLeftCell="R1" activePane="topRight" state="frozen"/>
      <selection pane="topRight" activeCell="AF40" sqref="AF40"/>
    </sheetView>
  </sheetViews>
  <sheetFormatPr defaultColWidth="9.140625" defaultRowHeight="12.75" x14ac:dyDescent="0.2"/>
  <cols>
    <col min="1" max="1" width="27" style="1" customWidth="1"/>
    <col min="2" max="2" width="30.5703125" style="1" customWidth="1"/>
    <col min="3" max="15" width="9.5703125" style="52" bestFit="1" customWidth="1"/>
    <col min="16" max="17" width="9.5703125" style="49" bestFit="1" customWidth="1"/>
    <col min="18" max="19" width="9.5703125" style="28" bestFit="1" customWidth="1"/>
    <col min="20" max="20" width="10.42578125" style="28" customWidth="1"/>
    <col min="21" max="23" width="10.7109375" style="28" customWidth="1"/>
    <col min="24" max="27" width="9.5703125" style="28" bestFit="1" customWidth="1"/>
    <col min="28" max="28" width="9.5703125" style="28" customWidth="1"/>
    <col min="29" max="30" width="9.5703125" style="28" bestFit="1" customWidth="1"/>
    <col min="31" max="31" width="9.140625" style="28"/>
    <col min="32" max="32" width="36.7109375" style="28" bestFit="1" customWidth="1"/>
    <col min="33" max="33" width="10.140625" style="28" bestFit="1" customWidth="1"/>
    <col min="34" max="16384" width="9.140625" style="28"/>
  </cols>
  <sheetData>
    <row r="1" spans="1:30" ht="18.75" x14ac:dyDescent="0.3">
      <c r="A1" s="13" t="s">
        <v>89</v>
      </c>
      <c r="B1" s="6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spans="1:30" ht="12.75" customHeight="1" x14ac:dyDescent="0.2">
      <c r="A2" s="11"/>
      <c r="B2" s="11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30" ht="12.75" customHeight="1" x14ac:dyDescent="0.2">
      <c r="A3" s="11"/>
      <c r="B3" s="11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30" ht="12.75" customHeight="1" x14ac:dyDescent="0.2">
      <c r="A4" s="7"/>
      <c r="B4" s="14"/>
      <c r="C4" s="36" t="s">
        <v>0</v>
      </c>
      <c r="D4" s="36" t="s">
        <v>1</v>
      </c>
      <c r="E4" s="36" t="s">
        <v>2</v>
      </c>
      <c r="F4" s="36" t="s">
        <v>3</v>
      </c>
      <c r="G4" s="36" t="s">
        <v>4</v>
      </c>
      <c r="H4" s="36" t="s">
        <v>5</v>
      </c>
      <c r="I4" s="36" t="s">
        <v>6</v>
      </c>
      <c r="J4" s="36" t="s">
        <v>7</v>
      </c>
      <c r="K4" s="36" t="s">
        <v>8</v>
      </c>
      <c r="L4" s="36" t="s">
        <v>9</v>
      </c>
      <c r="M4" s="36" t="s">
        <v>10</v>
      </c>
      <c r="N4" s="36" t="s">
        <v>11</v>
      </c>
      <c r="O4" s="36" t="s">
        <v>12</v>
      </c>
      <c r="P4" s="36" t="s">
        <v>71</v>
      </c>
      <c r="Q4" s="54" t="s">
        <v>81</v>
      </c>
      <c r="R4" s="54" t="s">
        <v>84</v>
      </c>
      <c r="S4" s="54" t="s">
        <v>86</v>
      </c>
      <c r="T4" s="54" t="s">
        <v>87</v>
      </c>
      <c r="U4" s="54" t="s">
        <v>94</v>
      </c>
      <c r="V4" s="54" t="s">
        <v>96</v>
      </c>
      <c r="W4" s="54" t="s">
        <v>100</v>
      </c>
      <c r="X4" s="54" t="s">
        <v>101</v>
      </c>
      <c r="Y4" s="54" t="s">
        <v>102</v>
      </c>
      <c r="Z4" s="54" t="s">
        <v>103</v>
      </c>
      <c r="AA4" s="54" t="s">
        <v>104</v>
      </c>
      <c r="AB4" s="54" t="s">
        <v>105</v>
      </c>
      <c r="AC4" s="54" t="s">
        <v>114</v>
      </c>
      <c r="AD4" s="54" t="s">
        <v>117</v>
      </c>
    </row>
    <row r="5" spans="1:30" s="29" customFormat="1" ht="12.75" customHeight="1" x14ac:dyDescent="0.2">
      <c r="A5" s="4" t="s">
        <v>90</v>
      </c>
      <c r="B5" s="15"/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1945</v>
      </c>
      <c r="K5" s="50">
        <v>3407</v>
      </c>
      <c r="L5" s="50">
        <v>3957</v>
      </c>
      <c r="M5" s="50">
        <v>5340</v>
      </c>
      <c r="N5" s="50">
        <v>5804</v>
      </c>
      <c r="O5" s="50">
        <v>5913</v>
      </c>
      <c r="P5" s="50">
        <v>5939</v>
      </c>
      <c r="Q5" s="50">
        <v>5633</v>
      </c>
      <c r="R5" s="50">
        <v>6327</v>
      </c>
      <c r="S5" s="50">
        <v>6535</v>
      </c>
      <c r="T5" s="50">
        <v>6629</v>
      </c>
      <c r="U5" s="50">
        <v>6744</v>
      </c>
      <c r="V5" s="50">
        <v>7599</v>
      </c>
      <c r="W5" s="50">
        <v>8149</v>
      </c>
      <c r="X5" s="50">
        <v>8410</v>
      </c>
      <c r="Y5" s="50">
        <v>8360</v>
      </c>
      <c r="Z5" s="50">
        <v>8621</v>
      </c>
      <c r="AA5" s="50">
        <v>8716</v>
      </c>
      <c r="AB5" s="50">
        <v>8271</v>
      </c>
      <c r="AC5" s="50">
        <v>7954</v>
      </c>
      <c r="AD5" s="50">
        <v>8022</v>
      </c>
    </row>
    <row r="6" spans="1:30" ht="12.75" customHeight="1" x14ac:dyDescent="0.2">
      <c r="A6" s="10"/>
      <c r="B6" s="23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</row>
    <row r="7" spans="1:30" ht="12.75" customHeight="1" x14ac:dyDescent="0.2">
      <c r="A7" s="8" t="s">
        <v>13</v>
      </c>
      <c r="B7" s="14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 ht="12.75" customHeight="1" x14ac:dyDescent="0.2">
      <c r="A8" s="6" t="s">
        <v>39</v>
      </c>
      <c r="B8" s="17"/>
      <c r="C8" s="48">
        <v>2820</v>
      </c>
      <c r="D8" s="48">
        <v>2800</v>
      </c>
      <c r="E8" s="48">
        <v>2839</v>
      </c>
      <c r="F8" s="48">
        <v>3055</v>
      </c>
      <c r="G8" s="48">
        <v>3022</v>
      </c>
      <c r="H8" s="48">
        <v>2983</v>
      </c>
      <c r="I8" s="48">
        <v>2903</v>
      </c>
      <c r="J8" s="48">
        <v>2982</v>
      </c>
      <c r="K8" s="48">
        <v>3277</v>
      </c>
      <c r="L8" s="48">
        <v>3304</v>
      </c>
      <c r="M8" s="48">
        <v>3381</v>
      </c>
      <c r="N8" s="48">
        <v>3644</v>
      </c>
      <c r="O8" s="48">
        <v>3712</v>
      </c>
      <c r="P8" s="48">
        <v>3800</v>
      </c>
      <c r="Q8" s="48">
        <v>3796</v>
      </c>
      <c r="R8" s="48">
        <v>3838</v>
      </c>
      <c r="S8" s="58">
        <v>4005</v>
      </c>
      <c r="T8" s="58">
        <v>3997</v>
      </c>
      <c r="U8" s="58">
        <v>3996</v>
      </c>
      <c r="V8" s="58">
        <v>4033</v>
      </c>
      <c r="W8" s="58">
        <v>3981</v>
      </c>
      <c r="X8" s="58">
        <v>3986</v>
      </c>
      <c r="Y8" s="58">
        <v>3983</v>
      </c>
      <c r="Z8" s="58">
        <v>4000</v>
      </c>
      <c r="AA8" s="58">
        <v>4011</v>
      </c>
      <c r="AB8" s="58">
        <v>3955</v>
      </c>
      <c r="AC8" s="58">
        <v>3943</v>
      </c>
      <c r="AD8" s="58">
        <v>3930</v>
      </c>
    </row>
    <row r="9" spans="1:30" ht="12.75" customHeight="1" x14ac:dyDescent="0.2">
      <c r="A9" s="6" t="s">
        <v>40</v>
      </c>
      <c r="B9" s="17"/>
      <c r="C9" s="48">
        <v>2360</v>
      </c>
      <c r="D9" s="48">
        <v>2410</v>
      </c>
      <c r="E9" s="48">
        <v>2434</v>
      </c>
      <c r="F9" s="48">
        <v>2279</v>
      </c>
      <c r="G9" s="48">
        <v>2389</v>
      </c>
      <c r="H9" s="48">
        <v>2513</v>
      </c>
      <c r="I9" s="48">
        <v>2630</v>
      </c>
      <c r="J9" s="48">
        <v>2519</v>
      </c>
      <c r="K9" s="48">
        <v>2675</v>
      </c>
      <c r="L9" s="48">
        <v>2661</v>
      </c>
      <c r="M9" s="48">
        <v>2712</v>
      </c>
      <c r="N9" s="48">
        <v>2625</v>
      </c>
      <c r="O9" s="48">
        <v>2526</v>
      </c>
      <c r="P9" s="48">
        <v>2321</v>
      </c>
      <c r="Q9" s="48">
        <v>2379</v>
      </c>
      <c r="R9" s="48">
        <v>2215</v>
      </c>
      <c r="S9" s="58">
        <v>1850</v>
      </c>
      <c r="T9" s="58">
        <v>1872</v>
      </c>
      <c r="U9" s="58">
        <v>1861</v>
      </c>
      <c r="V9" s="58">
        <v>1873</v>
      </c>
      <c r="W9" s="58">
        <v>1930</v>
      </c>
      <c r="X9" s="58">
        <v>1924</v>
      </c>
      <c r="Y9" s="58">
        <v>1869</v>
      </c>
      <c r="Z9" s="58">
        <v>1882</v>
      </c>
      <c r="AA9" s="58">
        <v>1893</v>
      </c>
      <c r="AB9" s="58">
        <v>1909</v>
      </c>
      <c r="AC9" s="58">
        <v>1894</v>
      </c>
      <c r="AD9" s="58">
        <v>1902</v>
      </c>
    </row>
    <row r="10" spans="1:30" s="29" customFormat="1" ht="12.75" customHeight="1" x14ac:dyDescent="0.2">
      <c r="A10" s="4" t="s">
        <v>35</v>
      </c>
      <c r="B10" s="21"/>
      <c r="C10" s="50">
        <f t="shared" ref="C10:N10" si="0">C9+C8</f>
        <v>5180</v>
      </c>
      <c r="D10" s="50">
        <f t="shared" si="0"/>
        <v>5210</v>
      </c>
      <c r="E10" s="50">
        <f t="shared" si="0"/>
        <v>5273</v>
      </c>
      <c r="F10" s="50">
        <f t="shared" si="0"/>
        <v>5334</v>
      </c>
      <c r="G10" s="50">
        <f t="shared" si="0"/>
        <v>5411</v>
      </c>
      <c r="H10" s="50">
        <f t="shared" si="0"/>
        <v>5496</v>
      </c>
      <c r="I10" s="50">
        <f t="shared" si="0"/>
        <v>5533</v>
      </c>
      <c r="J10" s="50">
        <f t="shared" si="0"/>
        <v>5501</v>
      </c>
      <c r="K10" s="50">
        <f t="shared" si="0"/>
        <v>5952</v>
      </c>
      <c r="L10" s="50">
        <f t="shared" si="0"/>
        <v>5965</v>
      </c>
      <c r="M10" s="50">
        <f t="shared" si="0"/>
        <v>6093</v>
      </c>
      <c r="N10" s="50">
        <f t="shared" si="0"/>
        <v>6269</v>
      </c>
      <c r="O10" s="50">
        <f t="shared" ref="O10:U10" si="1">O9+O8</f>
        <v>6238</v>
      </c>
      <c r="P10" s="50">
        <f t="shared" si="1"/>
        <v>6121</v>
      </c>
      <c r="Q10" s="50">
        <f t="shared" si="1"/>
        <v>6175</v>
      </c>
      <c r="R10" s="50">
        <f t="shared" si="1"/>
        <v>6053</v>
      </c>
      <c r="S10" s="50">
        <f t="shared" si="1"/>
        <v>5855</v>
      </c>
      <c r="T10" s="50">
        <f t="shared" si="1"/>
        <v>5869</v>
      </c>
      <c r="U10" s="50">
        <f t="shared" si="1"/>
        <v>5857</v>
      </c>
      <c r="V10" s="50">
        <f t="shared" ref="V10:AA10" si="2">V9+V8</f>
        <v>5906</v>
      </c>
      <c r="W10" s="50">
        <f t="shared" si="2"/>
        <v>5911</v>
      </c>
      <c r="X10" s="50">
        <f t="shared" si="2"/>
        <v>5910</v>
      </c>
      <c r="Y10" s="50">
        <f t="shared" si="2"/>
        <v>5852</v>
      </c>
      <c r="Z10" s="50">
        <f t="shared" si="2"/>
        <v>5882</v>
      </c>
      <c r="AA10" s="50">
        <f t="shared" si="2"/>
        <v>5904</v>
      </c>
      <c r="AB10" s="50">
        <f t="shared" ref="AB10" si="3">AB9+AB8</f>
        <v>5864</v>
      </c>
      <c r="AC10" s="50">
        <v>5837</v>
      </c>
      <c r="AD10" s="50">
        <f>SUM(AD8:AD9)</f>
        <v>5832</v>
      </c>
    </row>
    <row r="11" spans="1:30" ht="12.75" customHeight="1" x14ac:dyDescent="0.2">
      <c r="A11" s="10"/>
      <c r="B11" s="24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</row>
    <row r="12" spans="1:30" ht="12.75" customHeight="1" x14ac:dyDescent="0.2">
      <c r="A12" s="8" t="s">
        <v>17</v>
      </c>
      <c r="B12" s="20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 ht="12.75" customHeight="1" x14ac:dyDescent="0.2">
      <c r="A13" s="8" t="s">
        <v>44</v>
      </c>
      <c r="B13" s="20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 ht="12.75" customHeight="1" x14ac:dyDescent="0.2">
      <c r="A14" s="6"/>
      <c r="B14" s="17" t="s">
        <v>39</v>
      </c>
      <c r="C14" s="48">
        <v>1791</v>
      </c>
      <c r="D14" s="48">
        <v>1702</v>
      </c>
      <c r="E14" s="48">
        <v>1747</v>
      </c>
      <c r="F14" s="48">
        <v>1688</v>
      </c>
      <c r="G14" s="48">
        <v>1730</v>
      </c>
      <c r="H14" s="48">
        <v>1901</v>
      </c>
      <c r="I14" s="48">
        <v>2097</v>
      </c>
      <c r="J14" s="48">
        <v>2275</v>
      </c>
      <c r="K14" s="48">
        <v>2629</v>
      </c>
      <c r="L14" s="48">
        <v>3225</v>
      </c>
      <c r="M14" s="48">
        <v>3529</v>
      </c>
      <c r="N14" s="48">
        <v>3683</v>
      </c>
      <c r="O14" s="48">
        <v>3831</v>
      </c>
      <c r="P14" s="48">
        <v>3916</v>
      </c>
      <c r="Q14" s="48">
        <v>3965</v>
      </c>
      <c r="R14" s="48">
        <v>4049</v>
      </c>
      <c r="S14" s="58">
        <v>4122</v>
      </c>
      <c r="T14" s="58">
        <v>4326</v>
      </c>
      <c r="U14" s="58">
        <v>4453</v>
      </c>
      <c r="V14" s="58">
        <v>4786</v>
      </c>
      <c r="W14" s="58">
        <v>5106</v>
      </c>
      <c r="X14" s="58">
        <v>5070</v>
      </c>
      <c r="Y14" s="58">
        <v>5110</v>
      </c>
      <c r="Z14" s="58">
        <v>5103</v>
      </c>
      <c r="AA14" s="58">
        <v>5195</v>
      </c>
      <c r="AB14" s="58">
        <v>5174</v>
      </c>
      <c r="AC14" s="58">
        <v>5146</v>
      </c>
      <c r="AD14" s="58">
        <v>5194</v>
      </c>
    </row>
    <row r="15" spans="1:30" ht="12.75" customHeight="1" x14ac:dyDescent="0.2">
      <c r="A15" s="6"/>
      <c r="B15" s="17" t="s">
        <v>99</v>
      </c>
      <c r="C15" s="48">
        <v>771</v>
      </c>
      <c r="D15" s="48">
        <v>910</v>
      </c>
      <c r="E15" s="48">
        <v>853</v>
      </c>
      <c r="F15" s="48">
        <v>947</v>
      </c>
      <c r="G15" s="48">
        <v>1185</v>
      </c>
      <c r="H15" s="48">
        <v>1125</v>
      </c>
      <c r="I15" s="48">
        <v>911</v>
      </c>
      <c r="J15" s="48">
        <v>1074</v>
      </c>
      <c r="K15" s="48">
        <v>1418</v>
      </c>
      <c r="L15" s="48">
        <v>2741</v>
      </c>
      <c r="M15" s="48">
        <v>3483</v>
      </c>
      <c r="N15" s="48">
        <v>4140</v>
      </c>
      <c r="O15" s="48">
        <v>3945</v>
      </c>
      <c r="P15" s="48">
        <v>3979</v>
      </c>
      <c r="Q15" s="48">
        <v>4071</v>
      </c>
      <c r="R15" s="48">
        <v>4010</v>
      </c>
      <c r="S15" s="58">
        <v>3929</v>
      </c>
      <c r="T15" s="58">
        <v>3876</v>
      </c>
      <c r="U15" s="58">
        <v>3780</v>
      </c>
      <c r="V15" s="58">
        <v>3649</v>
      </c>
      <c r="W15" s="58">
        <v>3502</v>
      </c>
      <c r="X15" s="58">
        <v>3633</v>
      </c>
      <c r="Y15" s="58">
        <v>3842</v>
      </c>
      <c r="Z15" s="58">
        <v>4062</v>
      </c>
      <c r="AA15" s="58">
        <v>4117</v>
      </c>
      <c r="AB15" s="58">
        <v>4292</v>
      </c>
      <c r="AC15" s="58">
        <v>4377</v>
      </c>
      <c r="AD15" s="58">
        <v>4360</v>
      </c>
    </row>
    <row r="16" spans="1:30" s="29" customFormat="1" ht="12.75" customHeight="1" x14ac:dyDescent="0.2">
      <c r="A16" s="8" t="s">
        <v>79</v>
      </c>
      <c r="B16" s="20"/>
      <c r="C16" s="51">
        <f t="shared" ref="C16:N16" si="4">C14+C15</f>
        <v>2562</v>
      </c>
      <c r="D16" s="51">
        <f t="shared" si="4"/>
        <v>2612</v>
      </c>
      <c r="E16" s="51">
        <f t="shared" si="4"/>
        <v>2600</v>
      </c>
      <c r="F16" s="51">
        <f t="shared" si="4"/>
        <v>2635</v>
      </c>
      <c r="G16" s="51">
        <f t="shared" si="4"/>
        <v>2915</v>
      </c>
      <c r="H16" s="51">
        <f t="shared" si="4"/>
        <v>3026</v>
      </c>
      <c r="I16" s="51">
        <f t="shared" si="4"/>
        <v>3008</v>
      </c>
      <c r="J16" s="51">
        <f t="shared" si="4"/>
        <v>3349</v>
      </c>
      <c r="K16" s="51">
        <f t="shared" si="4"/>
        <v>4047</v>
      </c>
      <c r="L16" s="51">
        <f t="shared" si="4"/>
        <v>5966</v>
      </c>
      <c r="M16" s="51">
        <f t="shared" si="4"/>
        <v>7012</v>
      </c>
      <c r="N16" s="51">
        <f t="shared" si="4"/>
        <v>7823</v>
      </c>
      <c r="O16" s="51">
        <f t="shared" ref="O16:U16" si="5">O14+O15</f>
        <v>7776</v>
      </c>
      <c r="P16" s="51">
        <f t="shared" si="5"/>
        <v>7895</v>
      </c>
      <c r="Q16" s="51">
        <f t="shared" si="5"/>
        <v>8036</v>
      </c>
      <c r="R16" s="51">
        <f t="shared" si="5"/>
        <v>8059</v>
      </c>
      <c r="S16" s="51">
        <f t="shared" si="5"/>
        <v>8051</v>
      </c>
      <c r="T16" s="51">
        <f t="shared" si="5"/>
        <v>8202</v>
      </c>
      <c r="U16" s="51">
        <f t="shared" si="5"/>
        <v>8233</v>
      </c>
      <c r="V16" s="51">
        <f t="shared" ref="V16:AA16" si="6">V14+V15</f>
        <v>8435</v>
      </c>
      <c r="W16" s="51">
        <f t="shared" si="6"/>
        <v>8608</v>
      </c>
      <c r="X16" s="51">
        <f t="shared" si="6"/>
        <v>8703</v>
      </c>
      <c r="Y16" s="51">
        <f t="shared" si="6"/>
        <v>8952</v>
      </c>
      <c r="Z16" s="51">
        <f t="shared" si="6"/>
        <v>9165</v>
      </c>
      <c r="AA16" s="51">
        <f t="shared" si="6"/>
        <v>9312</v>
      </c>
      <c r="AB16" s="51">
        <f t="shared" ref="AB16" si="7">AB14+AB15</f>
        <v>9466</v>
      </c>
      <c r="AC16" s="51">
        <v>9523</v>
      </c>
      <c r="AD16" s="51">
        <f>SUM(AD14:AD15)</f>
        <v>9554</v>
      </c>
    </row>
    <row r="17" spans="1:30" ht="12.75" customHeight="1" x14ac:dyDescent="0.2">
      <c r="A17" s="6"/>
      <c r="B17" s="1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 ht="12.75" customHeight="1" x14ac:dyDescent="0.2">
      <c r="A18" s="6" t="s">
        <v>45</v>
      </c>
      <c r="B18" s="17"/>
      <c r="C18" s="48">
        <v>2292</v>
      </c>
      <c r="D18" s="48">
        <v>2126</v>
      </c>
      <c r="E18" s="48">
        <v>2394</v>
      </c>
      <c r="F18" s="48">
        <v>2422</v>
      </c>
      <c r="G18" s="48">
        <v>2430</v>
      </c>
      <c r="H18" s="48">
        <v>2499</v>
      </c>
      <c r="I18" s="48">
        <v>2552</v>
      </c>
      <c r="J18" s="48">
        <v>2499</v>
      </c>
      <c r="K18" s="48">
        <v>2318</v>
      </c>
      <c r="L18" s="48">
        <v>1963</v>
      </c>
      <c r="M18" s="48">
        <v>1445</v>
      </c>
      <c r="N18" s="48">
        <v>1149</v>
      </c>
      <c r="O18" s="48">
        <v>995</v>
      </c>
      <c r="P18" s="48">
        <v>818</v>
      </c>
      <c r="Q18" s="48">
        <v>711</v>
      </c>
      <c r="R18" s="48">
        <v>650</v>
      </c>
      <c r="S18" s="59">
        <v>625</v>
      </c>
      <c r="T18" s="59">
        <v>601</v>
      </c>
      <c r="U18" s="59">
        <v>576</v>
      </c>
      <c r="V18" s="59">
        <v>491</v>
      </c>
      <c r="W18" s="59">
        <v>444</v>
      </c>
      <c r="X18" s="59">
        <v>417</v>
      </c>
      <c r="Y18" s="59">
        <v>343</v>
      </c>
      <c r="Z18" s="59">
        <v>329</v>
      </c>
      <c r="AA18" s="59">
        <v>241</v>
      </c>
      <c r="AB18" s="59">
        <v>224</v>
      </c>
      <c r="AC18" s="59">
        <v>186</v>
      </c>
      <c r="AD18" s="59">
        <v>168</v>
      </c>
    </row>
    <row r="19" spans="1:30" ht="12.75" customHeight="1" x14ac:dyDescent="0.2">
      <c r="A19" s="6" t="s">
        <v>41</v>
      </c>
      <c r="B19" s="17"/>
      <c r="C19" s="48">
        <v>9</v>
      </c>
      <c r="D19" s="48">
        <v>20</v>
      </c>
      <c r="E19" s="48">
        <v>24</v>
      </c>
      <c r="F19" s="48">
        <v>38</v>
      </c>
      <c r="G19" s="48">
        <v>29</v>
      </c>
      <c r="H19" s="48">
        <v>45</v>
      </c>
      <c r="I19" s="48">
        <v>23</v>
      </c>
      <c r="J19" s="48">
        <v>22</v>
      </c>
      <c r="K19" s="48">
        <v>12</v>
      </c>
      <c r="L19" s="48">
        <v>0</v>
      </c>
      <c r="M19" s="48">
        <v>0</v>
      </c>
      <c r="N19" s="48">
        <v>0</v>
      </c>
      <c r="O19" s="48">
        <v>0</v>
      </c>
      <c r="P19" s="48">
        <v>0</v>
      </c>
      <c r="Q19" s="48">
        <v>0</v>
      </c>
      <c r="R19" s="48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 t="s">
        <v>116</v>
      </c>
      <c r="AD19" s="59" t="s">
        <v>116</v>
      </c>
    </row>
    <row r="20" spans="1:30" s="29" customFormat="1" ht="12.75" customHeight="1" x14ac:dyDescent="0.2">
      <c r="A20" s="8" t="s">
        <v>42</v>
      </c>
      <c r="B20" s="20"/>
      <c r="C20" s="51">
        <f>C18+C19</f>
        <v>2301</v>
      </c>
      <c r="D20" s="51">
        <f t="shared" ref="D20:U20" si="8">D18+D19</f>
        <v>2146</v>
      </c>
      <c r="E20" s="51">
        <f t="shared" si="8"/>
        <v>2418</v>
      </c>
      <c r="F20" s="51">
        <f t="shared" si="8"/>
        <v>2460</v>
      </c>
      <c r="G20" s="51">
        <f t="shared" si="8"/>
        <v>2459</v>
      </c>
      <c r="H20" s="51">
        <f t="shared" si="8"/>
        <v>2544</v>
      </c>
      <c r="I20" s="51">
        <f t="shared" si="8"/>
        <v>2575</v>
      </c>
      <c r="J20" s="51">
        <f t="shared" si="8"/>
        <v>2521</v>
      </c>
      <c r="K20" s="51">
        <f t="shared" si="8"/>
        <v>2330</v>
      </c>
      <c r="L20" s="51">
        <f t="shared" si="8"/>
        <v>1963</v>
      </c>
      <c r="M20" s="51">
        <f t="shared" si="8"/>
        <v>1445</v>
      </c>
      <c r="N20" s="51">
        <f t="shared" si="8"/>
        <v>1149</v>
      </c>
      <c r="O20" s="51">
        <f t="shared" si="8"/>
        <v>995</v>
      </c>
      <c r="P20" s="51">
        <f t="shared" si="8"/>
        <v>818</v>
      </c>
      <c r="Q20" s="51">
        <f t="shared" si="8"/>
        <v>711</v>
      </c>
      <c r="R20" s="51">
        <f t="shared" si="8"/>
        <v>650</v>
      </c>
      <c r="S20" s="51">
        <f t="shared" si="8"/>
        <v>625</v>
      </c>
      <c r="T20" s="51">
        <f t="shared" si="8"/>
        <v>601</v>
      </c>
      <c r="U20" s="51">
        <f t="shared" si="8"/>
        <v>576</v>
      </c>
      <c r="V20" s="51">
        <f t="shared" ref="V20:AA20" si="9">V18+V19</f>
        <v>491</v>
      </c>
      <c r="W20" s="51">
        <f t="shared" si="9"/>
        <v>444</v>
      </c>
      <c r="X20" s="51">
        <f t="shared" si="9"/>
        <v>417</v>
      </c>
      <c r="Y20" s="51">
        <f t="shared" si="9"/>
        <v>343</v>
      </c>
      <c r="Z20" s="51">
        <f t="shared" si="9"/>
        <v>329</v>
      </c>
      <c r="AA20" s="51">
        <f t="shared" si="9"/>
        <v>241</v>
      </c>
      <c r="AB20" s="51">
        <f t="shared" ref="AB20" si="10">AB18+AB19</f>
        <v>224</v>
      </c>
      <c r="AC20" s="51">
        <v>186</v>
      </c>
      <c r="AD20" s="51">
        <f>AD18</f>
        <v>168</v>
      </c>
    </row>
    <row r="21" spans="1:30" ht="12.75" customHeight="1" x14ac:dyDescent="0.2">
      <c r="A21" s="6"/>
      <c r="B21" s="1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 ht="12.75" customHeight="1" x14ac:dyDescent="0.2">
      <c r="A22" s="6" t="s">
        <v>98</v>
      </c>
      <c r="B22" s="20"/>
      <c r="C22" s="48">
        <v>180954</v>
      </c>
      <c r="D22" s="48">
        <v>181993</v>
      </c>
      <c r="E22" s="48">
        <v>181852</v>
      </c>
      <c r="F22" s="48">
        <v>181585</v>
      </c>
      <c r="G22" s="48">
        <v>181991</v>
      </c>
      <c r="H22" s="48">
        <v>181284</v>
      </c>
      <c r="I22" s="48">
        <v>178906</v>
      </c>
      <c r="J22" s="48">
        <v>175866</v>
      </c>
      <c r="K22" s="48">
        <v>172591</v>
      </c>
      <c r="L22" s="48">
        <v>169700</v>
      </c>
      <c r="M22" s="48">
        <v>167883</v>
      </c>
      <c r="N22" s="48">
        <v>165179</v>
      </c>
      <c r="O22" s="48">
        <v>162790</v>
      </c>
      <c r="P22" s="48">
        <v>160709</v>
      </c>
      <c r="Q22" s="48">
        <v>158665</v>
      </c>
      <c r="R22" s="48">
        <v>157020</v>
      </c>
      <c r="S22" s="59">
        <v>155500</v>
      </c>
      <c r="T22" s="59">
        <v>153551</v>
      </c>
      <c r="U22" s="59">
        <v>152552</v>
      </c>
      <c r="V22" s="59">
        <v>152333</v>
      </c>
      <c r="W22" s="59">
        <v>153740</v>
      </c>
      <c r="X22" s="59">
        <v>157082</v>
      </c>
      <c r="Y22" s="59">
        <v>160453</v>
      </c>
      <c r="Z22" s="59">
        <v>163735</v>
      </c>
      <c r="AA22" s="59">
        <v>166912</v>
      </c>
      <c r="AB22" s="59">
        <v>169908</v>
      </c>
      <c r="AC22" s="59">
        <v>172034</v>
      </c>
      <c r="AD22" s="59">
        <v>172863</v>
      </c>
    </row>
    <row r="23" spans="1:30" ht="12.75" customHeight="1" x14ac:dyDescent="0.2">
      <c r="A23" s="6" t="s">
        <v>83</v>
      </c>
      <c r="B23" s="20"/>
      <c r="C23" s="48">
        <v>3664</v>
      </c>
      <c r="D23" s="48">
        <v>3633</v>
      </c>
      <c r="E23" s="48">
        <v>3633</v>
      </c>
      <c r="F23" s="48">
        <v>3558</v>
      </c>
      <c r="G23" s="48">
        <v>3422</v>
      </c>
      <c r="H23" s="48">
        <v>3354</v>
      </c>
      <c r="I23" s="48">
        <v>3355</v>
      </c>
      <c r="J23" s="48">
        <v>3167</v>
      </c>
      <c r="K23" s="48">
        <v>3011</v>
      </c>
      <c r="L23" s="48">
        <v>2791</v>
      </c>
      <c r="M23" s="48">
        <v>2670</v>
      </c>
      <c r="N23" s="48">
        <v>2620</v>
      </c>
      <c r="O23" s="48">
        <v>2557</v>
      </c>
      <c r="P23" s="48">
        <v>2511</v>
      </c>
      <c r="Q23" s="48">
        <v>2478</v>
      </c>
      <c r="R23" s="48">
        <v>2401</v>
      </c>
      <c r="S23" s="59">
        <v>2411</v>
      </c>
      <c r="T23" s="59">
        <v>2427</v>
      </c>
      <c r="U23" s="59">
        <v>2335</v>
      </c>
      <c r="V23" s="59">
        <v>2119</v>
      </c>
      <c r="W23" s="59">
        <v>1954</v>
      </c>
      <c r="X23" s="59">
        <v>1832</v>
      </c>
      <c r="Y23" s="59">
        <v>1800</v>
      </c>
      <c r="Z23" s="59">
        <v>1813</v>
      </c>
      <c r="AA23" s="59">
        <v>1757</v>
      </c>
      <c r="AB23" s="59">
        <v>1704</v>
      </c>
      <c r="AC23" s="59">
        <v>1710</v>
      </c>
      <c r="AD23" s="59">
        <v>1660</v>
      </c>
    </row>
    <row r="24" spans="1:30" s="29" customFormat="1" ht="12.75" customHeight="1" x14ac:dyDescent="0.2">
      <c r="A24" s="8" t="s">
        <v>43</v>
      </c>
      <c r="B24" s="20"/>
      <c r="C24" s="51">
        <f>C23+C22</f>
        <v>184618</v>
      </c>
      <c r="D24" s="51">
        <f t="shared" ref="D24:U24" si="11">D23+D22</f>
        <v>185626</v>
      </c>
      <c r="E24" s="51">
        <f t="shared" si="11"/>
        <v>185485</v>
      </c>
      <c r="F24" s="51">
        <f t="shared" si="11"/>
        <v>185143</v>
      </c>
      <c r="G24" s="51">
        <f t="shared" si="11"/>
        <v>185413</v>
      </c>
      <c r="H24" s="51">
        <f t="shared" si="11"/>
        <v>184638</v>
      </c>
      <c r="I24" s="51">
        <f t="shared" si="11"/>
        <v>182261</v>
      </c>
      <c r="J24" s="51">
        <f t="shared" si="11"/>
        <v>179033</v>
      </c>
      <c r="K24" s="51">
        <f t="shared" si="11"/>
        <v>175602</v>
      </c>
      <c r="L24" s="51">
        <f t="shared" si="11"/>
        <v>172491</v>
      </c>
      <c r="M24" s="51">
        <f t="shared" si="11"/>
        <v>170553</v>
      </c>
      <c r="N24" s="51">
        <f t="shared" si="11"/>
        <v>167799</v>
      </c>
      <c r="O24" s="51">
        <f t="shared" si="11"/>
        <v>165347</v>
      </c>
      <c r="P24" s="51">
        <f t="shared" si="11"/>
        <v>163220</v>
      </c>
      <c r="Q24" s="51">
        <f t="shared" si="11"/>
        <v>161143</v>
      </c>
      <c r="R24" s="51">
        <f t="shared" si="11"/>
        <v>159421</v>
      </c>
      <c r="S24" s="51">
        <f t="shared" si="11"/>
        <v>157911</v>
      </c>
      <c r="T24" s="51">
        <f t="shared" si="11"/>
        <v>155978</v>
      </c>
      <c r="U24" s="51">
        <f t="shared" si="11"/>
        <v>154887</v>
      </c>
      <c r="V24" s="51">
        <f t="shared" ref="V24:AA24" si="12">V23+V22</f>
        <v>154452</v>
      </c>
      <c r="W24" s="51">
        <f t="shared" si="12"/>
        <v>155694</v>
      </c>
      <c r="X24" s="51">
        <f t="shared" si="12"/>
        <v>158914</v>
      </c>
      <c r="Y24" s="51">
        <f t="shared" si="12"/>
        <v>162253</v>
      </c>
      <c r="Z24" s="51">
        <f t="shared" si="12"/>
        <v>165548</v>
      </c>
      <c r="AA24" s="51">
        <f t="shared" si="12"/>
        <v>168669</v>
      </c>
      <c r="AB24" s="51">
        <f t="shared" ref="AB24" si="13">AB23+AB22</f>
        <v>171612</v>
      </c>
      <c r="AC24" s="51">
        <f>AC22+AC23</f>
        <v>173744</v>
      </c>
      <c r="AD24" s="51">
        <f>AD22+AD23</f>
        <v>174523</v>
      </c>
    </row>
    <row r="25" spans="1:30" ht="12.75" customHeight="1" x14ac:dyDescent="0.2">
      <c r="A25" s="11"/>
      <c r="B25" s="24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</row>
    <row r="26" spans="1:30" s="29" customFormat="1" ht="12.75" customHeight="1" x14ac:dyDescent="0.2">
      <c r="A26" s="4" t="s">
        <v>38</v>
      </c>
      <c r="B26" s="21"/>
      <c r="C26" s="50">
        <f t="shared" ref="C26:N26" si="14">C24+C20+C16</f>
        <v>189481</v>
      </c>
      <c r="D26" s="50">
        <f t="shared" si="14"/>
        <v>190384</v>
      </c>
      <c r="E26" s="50">
        <f t="shared" si="14"/>
        <v>190503</v>
      </c>
      <c r="F26" s="50">
        <f t="shared" si="14"/>
        <v>190238</v>
      </c>
      <c r="G26" s="50">
        <f t="shared" si="14"/>
        <v>190787</v>
      </c>
      <c r="H26" s="50">
        <f t="shared" si="14"/>
        <v>190208</v>
      </c>
      <c r="I26" s="50">
        <f t="shared" si="14"/>
        <v>187844</v>
      </c>
      <c r="J26" s="50">
        <f t="shared" si="14"/>
        <v>184903</v>
      </c>
      <c r="K26" s="50">
        <f t="shared" si="14"/>
        <v>181979</v>
      </c>
      <c r="L26" s="50">
        <f t="shared" si="14"/>
        <v>180420</v>
      </c>
      <c r="M26" s="50">
        <f t="shared" si="14"/>
        <v>179010</v>
      </c>
      <c r="N26" s="50">
        <f t="shared" si="14"/>
        <v>176771</v>
      </c>
      <c r="O26" s="50">
        <f t="shared" ref="O26:T26" si="15">O24+O20+O16</f>
        <v>174118</v>
      </c>
      <c r="P26" s="50">
        <f t="shared" si="15"/>
        <v>171933</v>
      </c>
      <c r="Q26" s="50">
        <f t="shared" si="15"/>
        <v>169890</v>
      </c>
      <c r="R26" s="50">
        <f t="shared" si="15"/>
        <v>168130</v>
      </c>
      <c r="S26" s="50">
        <f t="shared" si="15"/>
        <v>166587</v>
      </c>
      <c r="T26" s="50">
        <f t="shared" si="15"/>
        <v>164781</v>
      </c>
      <c r="U26" s="50">
        <f t="shared" ref="U26:Z26" si="16">U24+U20+U16</f>
        <v>163696</v>
      </c>
      <c r="V26" s="50">
        <f t="shared" si="16"/>
        <v>163378</v>
      </c>
      <c r="W26" s="50">
        <f t="shared" si="16"/>
        <v>164746</v>
      </c>
      <c r="X26" s="50">
        <f t="shared" si="16"/>
        <v>168034</v>
      </c>
      <c r="Y26" s="50">
        <f t="shared" si="16"/>
        <v>171548</v>
      </c>
      <c r="Z26" s="50">
        <f t="shared" si="16"/>
        <v>175042</v>
      </c>
      <c r="AA26" s="50">
        <f t="shared" ref="AA26" si="17">AA24+AA20+AA16</f>
        <v>178222</v>
      </c>
      <c r="AB26" s="50">
        <f t="shared" ref="AB26:AC26" si="18">AB24+AB20+AB16</f>
        <v>181302</v>
      </c>
      <c r="AC26" s="50">
        <f t="shared" si="18"/>
        <v>183453</v>
      </c>
      <c r="AD26" s="50">
        <f t="shared" ref="AD26" si="19">AD24+AD20+AD16</f>
        <v>184245</v>
      </c>
    </row>
    <row r="27" spans="1:30" ht="12.75" customHeight="1" x14ac:dyDescent="0.2">
      <c r="A27" s="11"/>
      <c r="B27" s="25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</row>
    <row r="28" spans="1:30" ht="12.75" customHeight="1" x14ac:dyDescent="0.2">
      <c r="A28" s="8" t="s">
        <v>30</v>
      </c>
      <c r="B28" s="20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 ht="12.75" customHeight="1" x14ac:dyDescent="0.2">
      <c r="A29" s="6" t="s">
        <v>31</v>
      </c>
      <c r="B29" s="20"/>
      <c r="C29" s="48">
        <v>87525</v>
      </c>
      <c r="D29" s="48">
        <v>88005</v>
      </c>
      <c r="E29" s="48">
        <v>89167</v>
      </c>
      <c r="F29" s="48">
        <v>89534</v>
      </c>
      <c r="G29" s="48">
        <v>90426</v>
      </c>
      <c r="H29" s="48">
        <v>90746</v>
      </c>
      <c r="I29" s="48">
        <v>90858</v>
      </c>
      <c r="J29" s="48">
        <v>91752</v>
      </c>
      <c r="K29" s="48">
        <v>92603</v>
      </c>
      <c r="L29" s="48">
        <v>92979</v>
      </c>
      <c r="M29" s="48">
        <v>92760</v>
      </c>
      <c r="N29" s="48">
        <v>92645</v>
      </c>
      <c r="O29" s="48">
        <v>92047</v>
      </c>
      <c r="P29" s="48">
        <v>90085</v>
      </c>
      <c r="Q29" s="48">
        <v>89421</v>
      </c>
      <c r="R29" s="48">
        <v>87520</v>
      </c>
      <c r="S29" s="59">
        <v>85663</v>
      </c>
      <c r="T29" s="59">
        <v>85576</v>
      </c>
      <c r="U29" s="59">
        <v>85315</v>
      </c>
      <c r="V29" s="59">
        <v>85769</v>
      </c>
      <c r="W29" s="59">
        <v>84193</v>
      </c>
      <c r="X29" s="59">
        <v>83059</v>
      </c>
      <c r="Y29" s="59">
        <v>81339</v>
      </c>
      <c r="Z29" s="59">
        <v>79840</v>
      </c>
      <c r="AA29" s="59">
        <v>77753</v>
      </c>
      <c r="AB29" s="59">
        <v>77432</v>
      </c>
      <c r="AC29" s="59">
        <v>77727</v>
      </c>
      <c r="AD29" s="59">
        <v>79377</v>
      </c>
    </row>
    <row r="30" spans="1:30" ht="12.75" customHeight="1" x14ac:dyDescent="0.2">
      <c r="A30" s="6" t="s">
        <v>47</v>
      </c>
      <c r="B30" s="20"/>
      <c r="C30" s="48">
        <v>55770</v>
      </c>
      <c r="D30" s="48">
        <v>57507</v>
      </c>
      <c r="E30" s="48">
        <v>59097</v>
      </c>
      <c r="F30" s="48">
        <v>60502</v>
      </c>
      <c r="G30" s="48">
        <v>61150</v>
      </c>
      <c r="H30" s="48">
        <v>61997</v>
      </c>
      <c r="I30" s="48">
        <v>62236</v>
      </c>
      <c r="J30" s="48">
        <v>62192</v>
      </c>
      <c r="K30" s="48">
        <v>62361</v>
      </c>
      <c r="L30" s="48">
        <v>62574</v>
      </c>
      <c r="M30" s="48">
        <v>62743</v>
      </c>
      <c r="N30" s="48">
        <v>63102</v>
      </c>
      <c r="O30" s="48">
        <v>63347</v>
      </c>
      <c r="P30" s="48">
        <v>63364</v>
      </c>
      <c r="Q30" s="48">
        <v>62419</v>
      </c>
      <c r="R30" s="48">
        <v>62245</v>
      </c>
      <c r="S30" s="59">
        <v>62279</v>
      </c>
      <c r="T30" s="59">
        <v>62410</v>
      </c>
      <c r="U30" s="59">
        <v>62444</v>
      </c>
      <c r="V30" s="59">
        <v>62133</v>
      </c>
      <c r="W30" s="59">
        <v>62554</v>
      </c>
      <c r="X30" s="59">
        <v>62599</v>
      </c>
      <c r="Y30" s="59">
        <v>62634</v>
      </c>
      <c r="Z30" s="59">
        <v>62713</v>
      </c>
      <c r="AA30" s="59">
        <v>63359</v>
      </c>
      <c r="AB30" s="59">
        <v>62981</v>
      </c>
      <c r="AC30" s="59">
        <v>62818</v>
      </c>
      <c r="AD30" s="59">
        <v>62862</v>
      </c>
    </row>
    <row r="31" spans="1:30" s="29" customFormat="1" ht="12.75" customHeight="1" x14ac:dyDescent="0.2">
      <c r="A31" s="4" t="s">
        <v>37</v>
      </c>
      <c r="B31" s="21"/>
      <c r="C31" s="50">
        <f>C30+C29</f>
        <v>143295</v>
      </c>
      <c r="D31" s="50">
        <f t="shared" ref="D31:U31" si="20">D30+D29</f>
        <v>145512</v>
      </c>
      <c r="E31" s="50">
        <f t="shared" si="20"/>
        <v>148264</v>
      </c>
      <c r="F31" s="50">
        <f t="shared" si="20"/>
        <v>150036</v>
      </c>
      <c r="G31" s="50">
        <f t="shared" si="20"/>
        <v>151576</v>
      </c>
      <c r="H31" s="50">
        <f t="shared" si="20"/>
        <v>152743</v>
      </c>
      <c r="I31" s="50">
        <f t="shared" si="20"/>
        <v>153094</v>
      </c>
      <c r="J31" s="50">
        <f t="shared" si="20"/>
        <v>153944</v>
      </c>
      <c r="K31" s="50">
        <f t="shared" si="20"/>
        <v>154964</v>
      </c>
      <c r="L31" s="50">
        <f t="shared" si="20"/>
        <v>155553</v>
      </c>
      <c r="M31" s="50">
        <f t="shared" si="20"/>
        <v>155503</v>
      </c>
      <c r="N31" s="50">
        <f t="shared" si="20"/>
        <v>155747</v>
      </c>
      <c r="O31" s="50">
        <f t="shared" si="20"/>
        <v>155394</v>
      </c>
      <c r="P31" s="50">
        <f t="shared" si="20"/>
        <v>153449</v>
      </c>
      <c r="Q31" s="50">
        <f t="shared" si="20"/>
        <v>151840</v>
      </c>
      <c r="R31" s="50">
        <f t="shared" si="20"/>
        <v>149765</v>
      </c>
      <c r="S31" s="50">
        <f t="shared" si="20"/>
        <v>147942</v>
      </c>
      <c r="T31" s="50">
        <f t="shared" si="20"/>
        <v>147986</v>
      </c>
      <c r="U31" s="50">
        <f t="shared" si="20"/>
        <v>147759</v>
      </c>
      <c r="V31" s="50">
        <f t="shared" ref="V31:AA31" si="21">V30+V29</f>
        <v>147902</v>
      </c>
      <c r="W31" s="50">
        <f t="shared" si="21"/>
        <v>146747</v>
      </c>
      <c r="X31" s="50">
        <f t="shared" si="21"/>
        <v>145658</v>
      </c>
      <c r="Y31" s="50">
        <f t="shared" si="21"/>
        <v>143973</v>
      </c>
      <c r="Z31" s="50">
        <f t="shared" si="21"/>
        <v>142553</v>
      </c>
      <c r="AA31" s="50">
        <f t="shared" si="21"/>
        <v>141112</v>
      </c>
      <c r="AB31" s="50">
        <f t="shared" ref="AB31" si="22">AB30+AB29</f>
        <v>140413</v>
      </c>
      <c r="AC31" s="50">
        <f>AC29+AC30</f>
        <v>140545</v>
      </c>
      <c r="AD31" s="50">
        <f>AD29+AD30</f>
        <v>142239</v>
      </c>
    </row>
    <row r="32" spans="1:30" ht="12.75" customHeight="1" x14ac:dyDescent="0.2">
      <c r="A32" s="10"/>
      <c r="B32" s="24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</row>
    <row r="33" spans="1:30" ht="12.75" customHeight="1" x14ac:dyDescent="0.2">
      <c r="A33" s="8" t="s">
        <v>72</v>
      </c>
      <c r="B33" s="20" t="s">
        <v>16</v>
      </c>
      <c r="C33" s="48">
        <v>4106</v>
      </c>
      <c r="D33" s="48">
        <v>4213</v>
      </c>
      <c r="E33" s="48">
        <v>4392</v>
      </c>
      <c r="F33" s="48">
        <v>4562</v>
      </c>
      <c r="G33" s="48">
        <v>4648</v>
      </c>
      <c r="H33" s="48">
        <v>4680</v>
      </c>
      <c r="I33" s="48">
        <v>4681</v>
      </c>
      <c r="J33" s="48">
        <v>4675</v>
      </c>
      <c r="K33" s="48">
        <v>4688</v>
      </c>
      <c r="L33" s="48">
        <v>4674</v>
      </c>
      <c r="M33" s="48">
        <v>4710</v>
      </c>
      <c r="N33" s="48">
        <v>4879</v>
      </c>
      <c r="O33" s="48">
        <v>4834</v>
      </c>
      <c r="P33" s="48">
        <v>4669</v>
      </c>
      <c r="Q33" s="48">
        <v>4599</v>
      </c>
      <c r="R33" s="48">
        <v>4557</v>
      </c>
      <c r="S33" s="59">
        <v>4611</v>
      </c>
      <c r="T33" s="59">
        <v>4598</v>
      </c>
      <c r="U33" s="59">
        <v>4443</v>
      </c>
      <c r="V33" s="59">
        <v>4458</v>
      </c>
      <c r="W33" s="59">
        <v>4549</v>
      </c>
      <c r="X33" s="59">
        <v>4653</v>
      </c>
      <c r="Y33" s="59">
        <v>4832</v>
      </c>
      <c r="Z33" s="59">
        <v>5064</v>
      </c>
      <c r="AA33" s="59">
        <v>5173</v>
      </c>
      <c r="AB33" s="59">
        <v>5407</v>
      </c>
      <c r="AC33" s="59">
        <v>5735</v>
      </c>
      <c r="AD33" s="59">
        <v>5959</v>
      </c>
    </row>
    <row r="34" spans="1:30" ht="12.75" customHeight="1" x14ac:dyDescent="0.2">
      <c r="A34" s="8" t="s">
        <v>115</v>
      </c>
      <c r="B34" s="20" t="s">
        <v>16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59" t="s">
        <v>116</v>
      </c>
      <c r="O34" s="59" t="s">
        <v>116</v>
      </c>
      <c r="P34" s="59" t="s">
        <v>116</v>
      </c>
      <c r="Q34" s="59" t="s">
        <v>116</v>
      </c>
      <c r="R34" s="59" t="s">
        <v>116</v>
      </c>
      <c r="S34" s="59" t="s">
        <v>116</v>
      </c>
      <c r="T34" s="59" t="s">
        <v>116</v>
      </c>
      <c r="U34" s="59" t="s">
        <v>116</v>
      </c>
      <c r="V34" s="59" t="s">
        <v>116</v>
      </c>
      <c r="W34" s="59" t="s">
        <v>116</v>
      </c>
      <c r="X34" s="59" t="s">
        <v>116</v>
      </c>
      <c r="Y34" s="59" t="s">
        <v>116</v>
      </c>
      <c r="Z34" s="59" t="s">
        <v>116</v>
      </c>
      <c r="AA34" s="59" t="s">
        <v>116</v>
      </c>
      <c r="AB34" s="59" t="s">
        <v>116</v>
      </c>
      <c r="AC34" s="59">
        <v>50</v>
      </c>
      <c r="AD34" s="59">
        <v>71</v>
      </c>
    </row>
    <row r="35" spans="1:30" ht="12.75" customHeight="1" x14ac:dyDescent="0.2">
      <c r="A35" s="8" t="s">
        <v>26</v>
      </c>
      <c r="B35" s="20" t="s">
        <v>85</v>
      </c>
      <c r="C35" s="48">
        <v>1052</v>
      </c>
      <c r="D35" s="48">
        <v>963</v>
      </c>
      <c r="E35" s="48">
        <v>939</v>
      </c>
      <c r="F35" s="48">
        <v>941</v>
      </c>
      <c r="G35" s="48">
        <v>1044</v>
      </c>
      <c r="H35" s="48">
        <v>925</v>
      </c>
      <c r="I35" s="48">
        <v>1213</v>
      </c>
      <c r="J35" s="48">
        <v>1346</v>
      </c>
      <c r="K35" s="48">
        <v>1243</v>
      </c>
      <c r="L35" s="48">
        <v>1255</v>
      </c>
      <c r="M35" s="48">
        <v>1072</v>
      </c>
      <c r="N35" s="48">
        <v>948</v>
      </c>
      <c r="O35" s="48">
        <v>835</v>
      </c>
      <c r="P35" s="48">
        <v>802</v>
      </c>
      <c r="Q35" s="48">
        <v>846</v>
      </c>
      <c r="R35" s="48">
        <v>809</v>
      </c>
      <c r="S35" s="59">
        <v>821</v>
      </c>
      <c r="T35" s="59">
        <v>712</v>
      </c>
      <c r="U35" s="59">
        <v>656</v>
      </c>
      <c r="V35" s="59">
        <v>631</v>
      </c>
      <c r="W35" s="59">
        <v>681</v>
      </c>
      <c r="X35" s="59">
        <v>687</v>
      </c>
      <c r="Y35" s="59">
        <v>688</v>
      </c>
      <c r="Z35" s="59">
        <v>642</v>
      </c>
      <c r="AA35" s="59">
        <v>658</v>
      </c>
      <c r="AB35" s="59">
        <v>514</v>
      </c>
      <c r="AC35" s="59">
        <v>604</v>
      </c>
      <c r="AD35" s="59">
        <v>611</v>
      </c>
    </row>
    <row r="36" spans="1:30" ht="12.75" customHeight="1" x14ac:dyDescent="0.2">
      <c r="A36" s="9"/>
      <c r="B36" s="24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</row>
    <row r="37" spans="1:30" s="29" customFormat="1" ht="12.75" customHeight="1" x14ac:dyDescent="0.2">
      <c r="A37" s="4" t="s">
        <v>36</v>
      </c>
      <c r="B37" s="21" t="s">
        <v>28</v>
      </c>
      <c r="C37" s="50">
        <f t="shared" ref="C37:AA37" si="23">C35+C33+C31+C26+C10</f>
        <v>343114</v>
      </c>
      <c r="D37" s="50">
        <f t="shared" si="23"/>
        <v>346282</v>
      </c>
      <c r="E37" s="50">
        <f t="shared" si="23"/>
        <v>349371</v>
      </c>
      <c r="F37" s="50">
        <f t="shared" si="23"/>
        <v>351111</v>
      </c>
      <c r="G37" s="50">
        <f t="shared" si="23"/>
        <v>353466</v>
      </c>
      <c r="H37" s="50">
        <f t="shared" si="23"/>
        <v>354052</v>
      </c>
      <c r="I37" s="50">
        <f t="shared" si="23"/>
        <v>352365</v>
      </c>
      <c r="J37" s="50">
        <f t="shared" si="23"/>
        <v>350369</v>
      </c>
      <c r="K37" s="50">
        <f t="shared" si="23"/>
        <v>348826</v>
      </c>
      <c r="L37" s="50">
        <f t="shared" si="23"/>
        <v>347867</v>
      </c>
      <c r="M37" s="50">
        <f t="shared" si="23"/>
        <v>346388</v>
      </c>
      <c r="N37" s="50">
        <f t="shared" si="23"/>
        <v>344614</v>
      </c>
      <c r="O37" s="50">
        <f t="shared" si="23"/>
        <v>341419</v>
      </c>
      <c r="P37" s="50">
        <f t="shared" si="23"/>
        <v>336974</v>
      </c>
      <c r="Q37" s="50">
        <f t="shared" si="23"/>
        <v>333350</v>
      </c>
      <c r="R37" s="50">
        <f t="shared" si="23"/>
        <v>329314</v>
      </c>
      <c r="S37" s="50">
        <f t="shared" si="23"/>
        <v>325816</v>
      </c>
      <c r="T37" s="50">
        <f t="shared" si="23"/>
        <v>323946</v>
      </c>
      <c r="U37" s="50">
        <f t="shared" si="23"/>
        <v>322411</v>
      </c>
      <c r="V37" s="50">
        <f t="shared" si="23"/>
        <v>322275</v>
      </c>
      <c r="W37" s="50">
        <f t="shared" si="23"/>
        <v>322634</v>
      </c>
      <c r="X37" s="50">
        <f t="shared" si="23"/>
        <v>324942</v>
      </c>
      <c r="Y37" s="50">
        <f t="shared" si="23"/>
        <v>326893</v>
      </c>
      <c r="Z37" s="50">
        <f t="shared" si="23"/>
        <v>329183</v>
      </c>
      <c r="AA37" s="50">
        <f t="shared" si="23"/>
        <v>331069</v>
      </c>
      <c r="AB37" s="50">
        <f>AB35+AB33+AB31+AB26+AB10</f>
        <v>333500</v>
      </c>
      <c r="AC37" s="50">
        <f>AC35+AC33+AC31+AC26+AC10+AC34</f>
        <v>336224</v>
      </c>
      <c r="AD37" s="50">
        <f>AD35+AD33+AD31+AD26+AD10+AD34</f>
        <v>338957</v>
      </c>
    </row>
    <row r="38" spans="1:30" ht="12.75" customHeight="1" x14ac:dyDescent="0.2">
      <c r="A38" s="2"/>
      <c r="B38" s="19"/>
      <c r="P38" s="52"/>
      <c r="Q38" s="52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</row>
    <row r="39" spans="1:30" s="29" customFormat="1" ht="12.75" customHeight="1" x14ac:dyDescent="0.2">
      <c r="A39" s="4" t="s">
        <v>91</v>
      </c>
      <c r="B39" s="21"/>
      <c r="C39" s="50">
        <f t="shared" ref="C39:AA39" si="24">C37+C5</f>
        <v>343114</v>
      </c>
      <c r="D39" s="50">
        <f t="shared" si="24"/>
        <v>346282</v>
      </c>
      <c r="E39" s="50">
        <f t="shared" si="24"/>
        <v>349371</v>
      </c>
      <c r="F39" s="50">
        <f t="shared" si="24"/>
        <v>351111</v>
      </c>
      <c r="G39" s="50">
        <f t="shared" si="24"/>
        <v>353466</v>
      </c>
      <c r="H39" s="50">
        <f t="shared" si="24"/>
        <v>354052</v>
      </c>
      <c r="I39" s="50">
        <f t="shared" si="24"/>
        <v>352365</v>
      </c>
      <c r="J39" s="50">
        <f t="shared" si="24"/>
        <v>352314</v>
      </c>
      <c r="K39" s="50">
        <f t="shared" si="24"/>
        <v>352233</v>
      </c>
      <c r="L39" s="50">
        <f t="shared" si="24"/>
        <v>351824</v>
      </c>
      <c r="M39" s="50">
        <f t="shared" si="24"/>
        <v>351728</v>
      </c>
      <c r="N39" s="50">
        <f t="shared" si="24"/>
        <v>350418</v>
      </c>
      <c r="O39" s="50">
        <f t="shared" si="24"/>
        <v>347332</v>
      </c>
      <c r="P39" s="50">
        <f t="shared" si="24"/>
        <v>342913</v>
      </c>
      <c r="Q39" s="50">
        <f t="shared" si="24"/>
        <v>338983</v>
      </c>
      <c r="R39" s="50">
        <f t="shared" si="24"/>
        <v>335641</v>
      </c>
      <c r="S39" s="50">
        <f t="shared" si="24"/>
        <v>332351</v>
      </c>
      <c r="T39" s="50">
        <f t="shared" si="24"/>
        <v>330575</v>
      </c>
      <c r="U39" s="50">
        <f t="shared" si="24"/>
        <v>329155</v>
      </c>
      <c r="V39" s="50">
        <f t="shared" si="24"/>
        <v>329874</v>
      </c>
      <c r="W39" s="50">
        <f t="shared" si="24"/>
        <v>330783</v>
      </c>
      <c r="X39" s="50">
        <f t="shared" si="24"/>
        <v>333352</v>
      </c>
      <c r="Y39" s="50">
        <f t="shared" si="24"/>
        <v>335253</v>
      </c>
      <c r="Z39" s="50">
        <f t="shared" si="24"/>
        <v>337804</v>
      </c>
      <c r="AA39" s="50">
        <f t="shared" si="24"/>
        <v>339785</v>
      </c>
      <c r="AB39" s="50">
        <f t="shared" ref="AB39:AC39" si="25">AB37+AB5</f>
        <v>341771</v>
      </c>
      <c r="AC39" s="50">
        <f t="shared" si="25"/>
        <v>344178</v>
      </c>
      <c r="AD39" s="50">
        <f t="shared" ref="AD39" si="26">AD37+AD5</f>
        <v>346979</v>
      </c>
    </row>
    <row r="40" spans="1:30" ht="12.75" customHeight="1" x14ac:dyDescent="0.2">
      <c r="P40" s="52"/>
      <c r="Q40" s="52"/>
    </row>
    <row r="41" spans="1:30" ht="12.75" customHeight="1" x14ac:dyDescent="0.2">
      <c r="A41" s="30" t="s">
        <v>33</v>
      </c>
      <c r="B41" s="6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 spans="1:30" ht="12.75" customHeight="1" x14ac:dyDescent="0.2">
      <c r="A42" s="31" t="s">
        <v>120</v>
      </c>
      <c r="B42" s="32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</row>
    <row r="43" spans="1:30" ht="12.75" customHeight="1" x14ac:dyDescent="0.2">
      <c r="A43" s="33" t="s">
        <v>46</v>
      </c>
      <c r="B43" s="32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 spans="1:30" ht="12.75" customHeight="1" x14ac:dyDescent="0.2">
      <c r="A44" s="31" t="s">
        <v>34</v>
      </c>
      <c r="B44" s="6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 spans="1:30" x14ac:dyDescent="0.2">
      <c r="A45" s="53" t="s">
        <v>78</v>
      </c>
      <c r="B45" s="32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 spans="1:30" x14ac:dyDescent="0.2">
      <c r="A46" s="31" t="s">
        <v>88</v>
      </c>
      <c r="B46" s="6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 spans="1:30" x14ac:dyDescent="0.2">
      <c r="A47" s="31" t="s">
        <v>106</v>
      </c>
      <c r="B47" s="6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 spans="1:30" x14ac:dyDescent="0.2">
      <c r="A48" s="31" t="s">
        <v>107</v>
      </c>
      <c r="B48" s="6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</sheetData>
  <phoneticPr fontId="0" type="noConversion"/>
  <pageMargins left="0.75" right="0.75" top="1" bottom="1" header="0.5" footer="0.5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schools</vt:lpstr>
      <vt:lpstr>pupils</vt:lpstr>
    </vt:vector>
  </TitlesOfParts>
  <Company>Deni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GrahamI</dc:creator>
  <cp:lastModifiedBy>Leonie Robinson</cp:lastModifiedBy>
  <cp:lastPrinted>2005-03-10T11:08:35Z</cp:lastPrinted>
  <dcterms:created xsi:type="dcterms:W3CDTF">2004-09-28T13:58:09Z</dcterms:created>
  <dcterms:modified xsi:type="dcterms:W3CDTF">2019-04-29T13:59:36Z</dcterms:modified>
</cp:coreProperties>
</file>